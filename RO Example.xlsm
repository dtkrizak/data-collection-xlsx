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codeName="{EF0A3169-33C6-E2D0-F78B-2A1B10235526}"/>
  <workbookPr codeName="ThisWorkbook"/>
  <mc:AlternateContent xmlns:mc="http://schemas.openxmlformats.org/markup-compatibility/2006">
    <mc:Choice Requires="x15">
      <x15ac:absPath xmlns:x15ac="http://schemas.microsoft.com/office/spreadsheetml/2010/11/ac" url="/Users/danielkrizak/Desktop/OSN/Experimental Data/"/>
    </mc:Choice>
  </mc:AlternateContent>
  <xr:revisionPtr revIDLastSave="0" documentId="8_{55C45D27-159C-9B47-A16B-E377EF05025B}" xr6:coauthVersionLast="45" xr6:coauthVersionMax="45" xr10:uidLastSave="{00000000-0000-0000-0000-000000000000}"/>
  <bookViews>
    <workbookView xWindow="0" yWindow="460" windowWidth="33600" windowHeight="20540" activeTab="1" xr2:uid="{00000000-000D-0000-FFFF-FFFF00000000}"/>
  </bookViews>
  <sheets>
    <sheet name="Sample 1 - DI Water" sheetId="15" r:id="rId1"/>
    <sheet name="Sample 1 - NaCl Solution" sheetId="18"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2" i="18" l="1"/>
  <c r="L9" i="18"/>
  <c r="L8" i="18"/>
  <c r="L3" i="18"/>
  <c r="K8"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Krizak</author>
    <author>Microsoft Office User</author>
  </authors>
  <commentList>
    <comment ref="C2" authorId="0" shapeId="0" xr:uid="{00000000-0006-0000-0100-000001000000}">
      <text>
        <r>
          <rPr>
            <b/>
            <sz val="9"/>
            <color rgb="FF000000"/>
            <rFont val="Tahoma"/>
            <family val="2"/>
          </rPr>
          <t>Daniel Krizak:</t>
        </r>
        <r>
          <rPr>
            <sz val="9"/>
            <color rgb="FF000000"/>
            <rFont val="Tahoma"/>
            <family val="2"/>
          </rPr>
          <t xml:space="preserve">
</t>
        </r>
        <r>
          <rPr>
            <sz val="9"/>
            <color rgb="FF000000"/>
            <rFont val="Tahoma"/>
            <family val="2"/>
          </rPr>
          <t>Assumption: density ~1g/ml</t>
        </r>
      </text>
    </comment>
    <comment ref="N2" authorId="1" shapeId="0" xr:uid="{7F17C7A0-0DB3-1F4C-A181-DD52E2D57DF2}">
      <text>
        <r>
          <rPr>
            <b/>
            <sz val="10"/>
            <color rgb="FF000000"/>
            <rFont val="Tahoma"/>
            <family val="2"/>
          </rPr>
          <t>Microsoft Office User:</t>
        </r>
        <r>
          <rPr>
            <sz val="10"/>
            <color rgb="FF000000"/>
            <rFont val="Tahoma"/>
            <family val="2"/>
          </rPr>
          <t xml:space="preserve">
</t>
        </r>
        <r>
          <rPr>
            <sz val="10"/>
            <color rgb="FF000000"/>
            <rFont val="Tahoma"/>
            <family val="2"/>
          </rPr>
          <t>Just a place for notes regarding the experiment</t>
        </r>
      </text>
    </comment>
    <comment ref="B3" authorId="1" shapeId="0" xr:uid="{50A3C289-AEBC-ED43-994B-84BAD0411058}">
      <text>
        <r>
          <rPr>
            <b/>
            <sz val="10"/>
            <color rgb="FF000000"/>
            <rFont val="Tahoma"/>
            <family val="2"/>
          </rPr>
          <t>Microsoft Office User:</t>
        </r>
        <r>
          <rPr>
            <sz val="10"/>
            <color rgb="FF000000"/>
            <rFont val="Tahoma"/>
            <family val="2"/>
          </rPr>
          <t xml:space="preserve">
</t>
        </r>
        <r>
          <rPr>
            <sz val="10"/>
            <color rgb="FF000000"/>
            <rFont val="Tahoma"/>
            <family val="2"/>
          </rPr>
          <t>This is the raw data from the scale when performing the DI water test, after inputting this data and adding a time value for each mass measurement, changing the pressure and effective area if necessary, and hitting calculate, the flux will be generated, and average value will update, and the graphs will update with the new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Daniel Krizak</author>
  </authors>
  <commentList>
    <comment ref="B1" authorId="0" shapeId="0" xr:uid="{E32135CB-207C-A147-A5BC-A62D83FFE0FD}">
      <text>
        <r>
          <rPr>
            <b/>
            <sz val="10"/>
            <color rgb="FF000000"/>
            <rFont val="Tahoma"/>
            <family val="2"/>
          </rPr>
          <t>Microsoft Office User:</t>
        </r>
        <r>
          <rPr>
            <sz val="10"/>
            <color rgb="FF000000"/>
            <rFont val="Tahoma"/>
            <family val="2"/>
          </rPr>
          <t xml:space="preserve">
</t>
        </r>
        <r>
          <rPr>
            <sz val="10"/>
            <color rgb="FF000000"/>
            <rFont val="Tahoma"/>
            <family val="2"/>
          </rPr>
          <t>This column is for the input data, simply the weight measured by the scale</t>
        </r>
      </text>
    </comment>
    <comment ref="A2" authorId="0" shapeId="0" xr:uid="{820980CD-94EA-114C-B31A-1CDBB69F3470}">
      <text>
        <r>
          <rPr>
            <b/>
            <sz val="10"/>
            <color rgb="FF000000"/>
            <rFont val="Tahoma"/>
            <family val="2"/>
          </rPr>
          <t>Microsoft Office User:</t>
        </r>
        <r>
          <rPr>
            <sz val="10"/>
            <color rgb="FF000000"/>
            <rFont val="Tahoma"/>
            <family val="2"/>
          </rPr>
          <t xml:space="preserve">
</t>
        </r>
        <r>
          <rPr>
            <sz val="10"/>
            <color rgb="FF000000"/>
            <rFont val="Tahoma"/>
            <family val="2"/>
          </rPr>
          <t>The time column should match the length of the raw data column</t>
        </r>
      </text>
    </comment>
    <comment ref="C2" authorId="0" shapeId="0" xr:uid="{1AF20D61-57D3-214F-81F9-BB175AC80A43}">
      <text>
        <r>
          <rPr>
            <b/>
            <sz val="10"/>
            <color rgb="FF000000"/>
            <rFont val="Tahoma"/>
            <family val="2"/>
          </rPr>
          <t>Microsoft Office User:</t>
        </r>
        <r>
          <rPr>
            <sz val="10"/>
            <color rgb="FF000000"/>
            <rFont val="Tahoma"/>
            <family val="2"/>
          </rPr>
          <t xml:space="preserve">
</t>
        </r>
        <r>
          <rPr>
            <sz val="10"/>
            <color rgb="FF000000"/>
            <rFont val="Tahoma"/>
            <family val="2"/>
          </rPr>
          <t>These are values calculated by the macro</t>
        </r>
      </text>
    </comment>
    <comment ref="D2" authorId="1" shapeId="0" xr:uid="{DDE5A902-13C7-9C4F-89B8-46B118DD0B7B}">
      <text>
        <r>
          <rPr>
            <b/>
            <sz val="9"/>
            <color rgb="FF000000"/>
            <rFont val="Tahoma"/>
            <family val="2"/>
          </rPr>
          <t>Daniel Krizak:</t>
        </r>
        <r>
          <rPr>
            <sz val="9"/>
            <color rgb="FF000000"/>
            <rFont val="Tahoma"/>
            <family val="2"/>
          </rPr>
          <t xml:space="preserve">
</t>
        </r>
        <r>
          <rPr>
            <sz val="9"/>
            <color rgb="FF000000"/>
            <rFont val="Tahoma"/>
            <family val="2"/>
          </rPr>
          <t xml:space="preserve">Assumption: density ~1g/ml
</t>
        </r>
        <r>
          <rPr>
            <sz val="9"/>
            <color rgb="FF000000"/>
            <rFont val="Tahoma"/>
            <family val="2"/>
          </rPr>
          <t>Cells will automatically highlight red if they are abnormally high, as this is most likely caused by an unstable value from the scale, causing the macro to think that the beaker has been replaced since the logic expects a new beaker if the mass is less than the previous value</t>
        </r>
      </text>
    </comment>
    <comment ref="E2" authorId="0" shapeId="0" xr:uid="{A2F6DBDC-0913-8B43-9CEB-5A121CD702C0}">
      <text>
        <r>
          <rPr>
            <b/>
            <sz val="10"/>
            <color rgb="FF000000"/>
            <rFont val="Tahoma"/>
            <family val="2"/>
          </rPr>
          <t>Microsoft Office User:</t>
        </r>
        <r>
          <rPr>
            <sz val="10"/>
            <color rgb="FF000000"/>
            <rFont val="Tahoma"/>
            <family val="2"/>
          </rPr>
          <t xml:space="preserve">
</t>
        </r>
        <r>
          <rPr>
            <sz val="10"/>
            <color rgb="FF000000"/>
            <rFont val="Tahoma"/>
            <family val="2"/>
          </rPr>
          <t>These are measurements from each time a beaker was swapped, and are placed next to the time corresponding to when the last drop was collected in the beaker</t>
        </r>
      </text>
    </comment>
    <comment ref="J2" authorId="1" shapeId="0" xr:uid="{DA203F79-DBA1-A84A-980D-D885ADEBEC2E}">
      <text>
        <r>
          <rPr>
            <b/>
            <sz val="9"/>
            <color rgb="FF000000"/>
            <rFont val="Tahoma"/>
            <family val="2"/>
          </rPr>
          <t>Daniel Krizak:</t>
        </r>
        <r>
          <rPr>
            <sz val="9"/>
            <color rgb="FF000000"/>
            <rFont val="Tahoma"/>
            <family val="2"/>
          </rPr>
          <t xml:space="preserve">
</t>
        </r>
        <r>
          <rPr>
            <sz val="9"/>
            <color rgb="FF000000"/>
            <rFont val="Tahoma"/>
            <family val="2"/>
          </rPr>
          <t xml:space="preserve">Note: This button calculates the total mass, concentration of NaCl and Salt Rejection
</t>
        </r>
      </text>
    </comment>
    <comment ref="O2" authorId="0" shapeId="0" xr:uid="{AA2BE707-9FA3-6049-BB74-8FC868308A3F}">
      <text>
        <r>
          <rPr>
            <b/>
            <sz val="10"/>
            <color rgb="FF000000"/>
            <rFont val="Tahoma"/>
            <family val="2"/>
          </rPr>
          <t>Microsoft Office User:</t>
        </r>
        <r>
          <rPr>
            <sz val="10"/>
            <color rgb="FF000000"/>
            <rFont val="Tahoma"/>
            <family val="2"/>
          </rPr>
          <t xml:space="preserve">
</t>
        </r>
        <r>
          <rPr>
            <sz val="10"/>
            <color rgb="FF000000"/>
            <rFont val="Tahoma"/>
            <family val="2"/>
          </rPr>
          <t>Just a place for notes for the experiment</t>
        </r>
      </text>
    </comment>
    <comment ref="L3" authorId="0" shapeId="0" xr:uid="{73688310-681B-5C40-973E-50B984DCDE3A}">
      <text>
        <r>
          <rPr>
            <b/>
            <sz val="10"/>
            <color rgb="FF000000"/>
            <rFont val="Tahoma"/>
            <family val="2"/>
          </rPr>
          <t>Microsoft Office User:</t>
        </r>
        <r>
          <rPr>
            <sz val="10"/>
            <color rgb="FF000000"/>
            <rFont val="Tahoma"/>
            <family val="2"/>
          </rPr>
          <t xml:space="preserve">
</t>
        </r>
        <r>
          <rPr>
            <sz val="10"/>
            <color rgb="FF000000"/>
            <rFont val="Tahoma"/>
            <family val="2"/>
          </rPr>
          <t>This value is a constant 0.034 mol/L for a solution of 2000ppm NaCl in DI water (or 2g/L of NaCl in DI water)</t>
        </r>
      </text>
    </comment>
    <comment ref="L4" authorId="1" shapeId="0" xr:uid="{9479E873-FA77-6B4F-963B-4E6DAE6111FE}">
      <text>
        <r>
          <rPr>
            <b/>
            <sz val="9"/>
            <color rgb="FF000000"/>
            <rFont val="Tahoma"/>
            <family val="2"/>
          </rPr>
          <t>Daniel Krizak:</t>
        </r>
        <r>
          <rPr>
            <sz val="9"/>
            <color rgb="FF000000"/>
            <rFont val="Tahoma"/>
            <family val="2"/>
          </rPr>
          <t xml:space="preserve">
</t>
        </r>
        <r>
          <rPr>
            <sz val="9"/>
            <color rgb="FF000000"/>
            <rFont val="Tahoma"/>
            <family val="2"/>
          </rPr>
          <t>This is a measured value for reference to double check that the solution is at the expected conductivity for the concentration and does not affect the calculation for salt concentration of the samples</t>
        </r>
      </text>
    </comment>
    <comment ref="O4" authorId="1" shapeId="0" xr:uid="{C45CA708-C977-D844-B8CE-639D4CEB993F}">
      <text>
        <r>
          <rPr>
            <b/>
            <sz val="10"/>
            <color rgb="FF000000"/>
            <rFont val="Tahoma"/>
            <family val="2"/>
          </rPr>
          <t>Daniel Krizak:</t>
        </r>
        <r>
          <rPr>
            <sz val="10"/>
            <color rgb="FF000000"/>
            <rFont val="Tahoma"/>
            <family val="2"/>
          </rPr>
          <t xml:space="preserve">
</t>
        </r>
        <r>
          <rPr>
            <sz val="10"/>
            <color rgb="FF000000"/>
            <rFont val="Tahoma"/>
            <family val="2"/>
          </rPr>
          <t>After Reviewing the procedures from Cui Free Stand PA paper, this is the conc. used</t>
        </r>
      </text>
    </comment>
    <comment ref="L5" authorId="0" shapeId="0" xr:uid="{5200F65C-279F-274E-902C-ADE99CAB9C24}">
      <text>
        <r>
          <rPr>
            <b/>
            <sz val="10"/>
            <color rgb="FF000000"/>
            <rFont val="Tahoma"/>
            <family val="2"/>
          </rPr>
          <t>Microsoft Office User:</t>
        </r>
        <r>
          <rPr>
            <sz val="10"/>
            <color rgb="FF000000"/>
            <rFont val="Tahoma"/>
            <family val="2"/>
          </rPr>
          <t xml:space="preserve">
</t>
        </r>
        <r>
          <rPr>
            <sz val="10"/>
            <color rgb="FF000000"/>
            <rFont val="Tahoma"/>
            <family val="2"/>
          </rPr>
          <t>This value is limited by the dead end cell used, and is the effective area for filtration</t>
        </r>
      </text>
    </comment>
    <comment ref="K10" authorId="0" shapeId="0" xr:uid="{A0A48225-50DD-F34A-86D9-5AF5A13DA5DE}">
      <text>
        <r>
          <rPr>
            <b/>
            <sz val="10"/>
            <color rgb="FF000000"/>
            <rFont val="Tahoma"/>
            <family val="2"/>
          </rPr>
          <t>Microsoft Office User:</t>
        </r>
        <r>
          <rPr>
            <sz val="10"/>
            <color rgb="FF000000"/>
            <rFont val="Tahoma"/>
            <family val="2"/>
          </rPr>
          <t xml:space="preserve">
</t>
        </r>
        <r>
          <rPr>
            <sz val="10"/>
            <color rgb="FF000000"/>
            <rFont val="Tahoma"/>
            <family val="2"/>
          </rPr>
          <t>This is for the mass of the beakers used to collect the NaCl solution, two are used so that they can be swapped and cleaned after a sufficient volume of solution is collected for a conductivity measurement to test for salt concentration</t>
        </r>
      </text>
    </comment>
  </commentList>
</comments>
</file>

<file path=xl/sharedStrings.xml><?xml version="1.0" encoding="utf-8"?>
<sst xmlns="http://schemas.openxmlformats.org/spreadsheetml/2006/main" count="60" uniqueCount="40">
  <si>
    <t>grams</t>
  </si>
  <si>
    <t>min</t>
  </si>
  <si>
    <t>%</t>
  </si>
  <si>
    <t>Time</t>
  </si>
  <si>
    <t>Mass</t>
  </si>
  <si>
    <t>Flux</t>
  </si>
  <si>
    <t>mS/cm</t>
  </si>
  <si>
    <t>Salt Rejection</t>
  </si>
  <si>
    <t>Feed Solution:</t>
  </si>
  <si>
    <t>Cond</t>
  </si>
  <si>
    <t>M NaCl</t>
  </si>
  <si>
    <t>Conc</t>
  </si>
  <si>
    <t>Max Rejection:</t>
  </si>
  <si>
    <t>Effective Area:</t>
  </si>
  <si>
    <r>
      <t>mm</t>
    </r>
    <r>
      <rPr>
        <vertAlign val="superscript"/>
        <sz val="11"/>
        <color theme="1"/>
        <rFont val="Calibri"/>
        <family val="2"/>
        <scheme val="minor"/>
      </rPr>
      <t>2</t>
    </r>
  </si>
  <si>
    <t>Average Flux:</t>
  </si>
  <si>
    <t>Pressure:</t>
  </si>
  <si>
    <t>bar</t>
  </si>
  <si>
    <t>Feed Conductivity</t>
  </si>
  <si>
    <t>Raw Data</t>
  </si>
  <si>
    <t>Total Mass</t>
  </si>
  <si>
    <t>Mass Beaker 1:</t>
  </si>
  <si>
    <t>Mass Beaker 2:</t>
  </si>
  <si>
    <t>g</t>
  </si>
  <si>
    <t>*Calculation designed for minutes</t>
  </si>
  <si>
    <t>*Calculation Designed for minutes</t>
  </si>
  <si>
    <t>Notes</t>
  </si>
  <si>
    <t>200mL DI water</t>
  </si>
  <si>
    <r>
      <t>L/h.m</t>
    </r>
    <r>
      <rPr>
        <vertAlign val="superscript"/>
        <sz val="11"/>
        <color theme="1"/>
        <rFont val="Calibri"/>
        <family val="2"/>
        <scheme val="minor"/>
      </rPr>
      <t>2</t>
    </r>
    <r>
      <rPr>
        <sz val="11"/>
        <color theme="1"/>
        <rFont val="Calibri"/>
        <family val="2"/>
        <scheme val="minor"/>
      </rPr>
      <t>bar</t>
    </r>
  </si>
  <si>
    <r>
      <t>L/h.m</t>
    </r>
    <r>
      <rPr>
        <vertAlign val="superscript"/>
        <sz val="11"/>
        <color theme="1"/>
        <rFont val="Calibri"/>
        <family val="2"/>
        <scheme val="minor"/>
      </rPr>
      <t>2</t>
    </r>
    <r>
      <rPr>
        <sz val="11"/>
        <color theme="1"/>
        <rFont val="Calibri"/>
        <family val="2"/>
        <scheme val="minor"/>
      </rPr>
      <t>.bar</t>
    </r>
  </si>
  <si>
    <r>
      <t>L/h.m</t>
    </r>
    <r>
      <rPr>
        <b/>
        <vertAlign val="superscript"/>
        <sz val="11"/>
        <color theme="1"/>
        <rFont val="Calibri"/>
        <family val="2"/>
        <scheme val="minor"/>
      </rPr>
      <t>2</t>
    </r>
    <r>
      <rPr>
        <b/>
        <sz val="11"/>
        <color theme="1"/>
        <rFont val="Calibri (Body)"/>
      </rPr>
      <t>.bar</t>
    </r>
  </si>
  <si>
    <t>Automated Spin Coat Method</t>
  </si>
  <si>
    <t>Avg Rejection:</t>
  </si>
  <si>
    <t>PVDF + Levodopa + EDC/HOBt/MPD + PA30(MPD/TMC, 1wt%)</t>
  </si>
  <si>
    <t>stirred cell at 700rpm per literature</t>
  </si>
  <si>
    <t>250mL of 2g/L NaCl or 2000ppm NaCl in dead end cell</t>
  </si>
  <si>
    <t>Input Data</t>
  </si>
  <si>
    <t>Input Data in Green</t>
  </si>
  <si>
    <t>8/15/19 Sample 1</t>
  </si>
  <si>
    <t>Input Value in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</si>
</sst>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15" x14ac:knownFonts="1">
    <font>
      <sz val="11"/>
      <color theme="1"/>
      <name val="Calibri"/>
      <family val="2"/>
      <scheme val="minor"/>
    </font>
    <font>
      <b/>
      <sz val="11"/>
      <color theme="1"/>
      <name val="Calibri"/>
      <family val="2"/>
      <scheme val="minor"/>
    </font>
    <font>
      <vertAlign val="superscript"/>
      <sz val="11"/>
      <color theme="1"/>
      <name val="Calibri"/>
      <family val="2"/>
      <scheme val="minor"/>
    </font>
    <font>
      <b/>
      <vertAlign val="superscript"/>
      <sz val="11"/>
      <color theme="1"/>
      <name val="Calibri"/>
      <family val="2"/>
      <scheme val="minor"/>
    </font>
    <font>
      <sz val="11"/>
      <color theme="1"/>
      <name val="Calibri"/>
      <family val="2"/>
      <scheme val="minor"/>
    </font>
    <font>
      <sz val="11"/>
      <color rgb="FF000000"/>
      <name val="Calibri"/>
      <family val="2"/>
      <scheme val="minor"/>
    </font>
    <font>
      <sz val="10"/>
      <color rgb="FF000000"/>
      <name val="Tahoma"/>
      <family val="2"/>
    </font>
    <font>
      <b/>
      <sz val="10"/>
      <color rgb="FF000000"/>
      <name val="Tahoma"/>
      <family val="2"/>
    </font>
    <font>
      <b/>
      <sz val="9"/>
      <color rgb="FF000000"/>
      <name val="Tahoma"/>
      <family val="2"/>
    </font>
    <font>
      <sz val="9"/>
      <color rgb="FF000000"/>
      <name val="Tahoma"/>
      <family val="2"/>
    </font>
    <font>
      <sz val="11"/>
      <color rgb="FF000000"/>
      <name val="Calibri"/>
      <family val="2"/>
    </font>
    <font>
      <b/>
      <sz val="11"/>
      <color theme="1"/>
      <name val="Calibri (Body)"/>
    </font>
    <font>
      <i/>
      <sz val="11"/>
      <color rgb="FF000000"/>
      <name val="Calibri"/>
      <family val="2"/>
      <scheme val="minor"/>
    </font>
    <font>
      <sz val="11"/>
      <color theme="9"/>
      <name val="Calibri"/>
      <family val="2"/>
      <scheme val="minor"/>
    </font>
    <font>
      <b/>
      <sz val="11"/>
      <color theme="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12">
    <xf numFmtId="0" fontId="0" fillId="0" borderId="0" xfId="0"/>
    <xf numFmtId="0" fontId="1" fillId="0" borderId="0" xfId="0" applyFont="1"/>
    <xf numFmtId="0" fontId="0" fillId="0" borderId="0" xfId="0" applyAlignment="1">
      <alignment horizontal="right"/>
    </xf>
    <xf numFmtId="0" fontId="0" fillId="0" borderId="0" xfId="0" applyFont="1"/>
    <xf numFmtId="164" fontId="0" fillId="0" borderId="0" xfId="0" applyNumberFormat="1"/>
    <xf numFmtId="10" fontId="0" fillId="0" borderId="0" xfId="1" applyNumberFormat="1" applyFont="1"/>
    <xf numFmtId="0" fontId="5" fillId="0" borderId="0" xfId="0" applyFont="1"/>
    <xf numFmtId="165" fontId="0" fillId="0" borderId="0" xfId="1" applyNumberFormat="1" applyFont="1"/>
    <xf numFmtId="0" fontId="12" fillId="0" borderId="0" xfId="0" applyFont="1"/>
    <xf numFmtId="0" fontId="13" fillId="0" borderId="0" xfId="0" applyFont="1"/>
    <xf numFmtId="0" fontId="14" fillId="0" borderId="0" xfId="0" applyFont="1"/>
    <xf numFmtId="2" fontId="13" fillId="0" borderId="0" xfId="0" applyNumberFormat="1" applyFont="1"/>
  </cellXfs>
  <cellStyles count="2">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66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Mass</a:t>
            </a:r>
            <a:r>
              <a:rPr lang="en-US" sz="1400" b="0"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DI Water'!$B$2:$B$3</c:f>
              <c:strCache>
                <c:ptCount val="2"/>
                <c:pt idx="0">
                  <c:v>Mass</c:v>
                </c:pt>
                <c:pt idx="1">
                  <c:v>grams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'Sample 1 - DI Water'!$A$5:$A$300</c:f>
              <c:numCache>
                <c:formatCode>General</c:formatCode>
                <c:ptCount val="29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113</c:v>
                </c:pt>
                <c:pt idx="112">
                  <c:v>114</c:v>
                </c:pt>
                <c:pt idx="113">
                  <c:v>115</c:v>
                </c:pt>
                <c:pt idx="114">
                  <c:v>116</c:v>
                </c:pt>
                <c:pt idx="115">
                  <c:v>117</c:v>
                </c:pt>
                <c:pt idx="116">
                  <c:v>118</c:v>
                </c:pt>
                <c:pt idx="117">
                  <c:v>119</c:v>
                </c:pt>
                <c:pt idx="118">
                  <c:v>120</c:v>
                </c:pt>
                <c:pt idx="119">
                  <c:v>121</c:v>
                </c:pt>
                <c:pt idx="120">
                  <c:v>122</c:v>
                </c:pt>
                <c:pt idx="121">
                  <c:v>123</c:v>
                </c:pt>
                <c:pt idx="122">
                  <c:v>124</c:v>
                </c:pt>
                <c:pt idx="123">
                  <c:v>125</c:v>
                </c:pt>
                <c:pt idx="124">
                  <c:v>126</c:v>
                </c:pt>
                <c:pt idx="125">
                  <c:v>127</c:v>
                </c:pt>
                <c:pt idx="126">
                  <c:v>128</c:v>
                </c:pt>
                <c:pt idx="127">
                  <c:v>129</c:v>
                </c:pt>
                <c:pt idx="128">
                  <c:v>130</c:v>
                </c:pt>
                <c:pt idx="129">
                  <c:v>131</c:v>
                </c:pt>
                <c:pt idx="130">
                  <c:v>132</c:v>
                </c:pt>
                <c:pt idx="131">
                  <c:v>133</c:v>
                </c:pt>
                <c:pt idx="132">
                  <c:v>134</c:v>
                </c:pt>
                <c:pt idx="133">
                  <c:v>135</c:v>
                </c:pt>
                <c:pt idx="134">
                  <c:v>136</c:v>
                </c:pt>
                <c:pt idx="135">
                  <c:v>137</c:v>
                </c:pt>
                <c:pt idx="136">
                  <c:v>138</c:v>
                </c:pt>
                <c:pt idx="137">
                  <c:v>139</c:v>
                </c:pt>
                <c:pt idx="138">
                  <c:v>140</c:v>
                </c:pt>
                <c:pt idx="139">
                  <c:v>141</c:v>
                </c:pt>
                <c:pt idx="140">
                  <c:v>142</c:v>
                </c:pt>
                <c:pt idx="141">
                  <c:v>143</c:v>
                </c:pt>
                <c:pt idx="142">
                  <c:v>144</c:v>
                </c:pt>
                <c:pt idx="143">
                  <c:v>145</c:v>
                </c:pt>
                <c:pt idx="144">
                  <c:v>146</c:v>
                </c:pt>
                <c:pt idx="145">
                  <c:v>147</c:v>
                </c:pt>
                <c:pt idx="146">
                  <c:v>148</c:v>
                </c:pt>
                <c:pt idx="147">
                  <c:v>149</c:v>
                </c:pt>
                <c:pt idx="148">
                  <c:v>150</c:v>
                </c:pt>
                <c:pt idx="149">
                  <c:v>151</c:v>
                </c:pt>
                <c:pt idx="150">
                  <c:v>152</c:v>
                </c:pt>
                <c:pt idx="151">
                  <c:v>153</c:v>
                </c:pt>
                <c:pt idx="152">
                  <c:v>154</c:v>
                </c:pt>
                <c:pt idx="153">
                  <c:v>155</c:v>
                </c:pt>
                <c:pt idx="154">
                  <c:v>156</c:v>
                </c:pt>
                <c:pt idx="155">
                  <c:v>157</c:v>
                </c:pt>
                <c:pt idx="156">
                  <c:v>158</c:v>
                </c:pt>
                <c:pt idx="157">
                  <c:v>159</c:v>
                </c:pt>
                <c:pt idx="158">
                  <c:v>160</c:v>
                </c:pt>
                <c:pt idx="159">
                  <c:v>161</c:v>
                </c:pt>
                <c:pt idx="160">
                  <c:v>162</c:v>
                </c:pt>
                <c:pt idx="161">
                  <c:v>163</c:v>
                </c:pt>
                <c:pt idx="162">
                  <c:v>164</c:v>
                </c:pt>
                <c:pt idx="163">
                  <c:v>165</c:v>
                </c:pt>
                <c:pt idx="164">
                  <c:v>166</c:v>
                </c:pt>
                <c:pt idx="165">
                  <c:v>167</c:v>
                </c:pt>
                <c:pt idx="166">
                  <c:v>168</c:v>
                </c:pt>
                <c:pt idx="167">
                  <c:v>169</c:v>
                </c:pt>
                <c:pt idx="168">
                  <c:v>170</c:v>
                </c:pt>
                <c:pt idx="169">
                  <c:v>171</c:v>
                </c:pt>
                <c:pt idx="170">
                  <c:v>172</c:v>
                </c:pt>
                <c:pt idx="171">
                  <c:v>173</c:v>
                </c:pt>
                <c:pt idx="172">
                  <c:v>174</c:v>
                </c:pt>
                <c:pt idx="173">
                  <c:v>175</c:v>
                </c:pt>
                <c:pt idx="174">
                  <c:v>176</c:v>
                </c:pt>
                <c:pt idx="175">
                  <c:v>177</c:v>
                </c:pt>
                <c:pt idx="176">
                  <c:v>178</c:v>
                </c:pt>
                <c:pt idx="177">
                  <c:v>179</c:v>
                </c:pt>
                <c:pt idx="178">
                  <c:v>180</c:v>
                </c:pt>
                <c:pt idx="179">
                  <c:v>181</c:v>
                </c:pt>
                <c:pt idx="180">
                  <c:v>182</c:v>
                </c:pt>
                <c:pt idx="181">
                  <c:v>183</c:v>
                </c:pt>
                <c:pt idx="182">
                  <c:v>184</c:v>
                </c:pt>
                <c:pt idx="183">
                  <c:v>185</c:v>
                </c:pt>
                <c:pt idx="184">
                  <c:v>186</c:v>
                </c:pt>
                <c:pt idx="185">
                  <c:v>187</c:v>
                </c:pt>
                <c:pt idx="186">
                  <c:v>188</c:v>
                </c:pt>
                <c:pt idx="187">
                  <c:v>189</c:v>
                </c:pt>
                <c:pt idx="188">
                  <c:v>190</c:v>
                </c:pt>
                <c:pt idx="189">
                  <c:v>191</c:v>
                </c:pt>
                <c:pt idx="190">
                  <c:v>192</c:v>
                </c:pt>
                <c:pt idx="191">
                  <c:v>193</c:v>
                </c:pt>
                <c:pt idx="192">
                  <c:v>194</c:v>
                </c:pt>
                <c:pt idx="193">
                  <c:v>195</c:v>
                </c:pt>
              </c:numCache>
            </c:numRef>
          </c:xVal>
          <c:yVal>
            <c:numRef>
              <c:f>'Sample 1 - DI Water'!$B$4:$B$25</c:f>
              <c:numCache>
                <c:formatCode>General</c:formatCode>
                <c:ptCount val="22"/>
                <c:pt idx="0">
                  <c:v>0.13</c:v>
                </c:pt>
                <c:pt idx="1">
                  <c:v>0.5</c:v>
                </c:pt>
                <c:pt idx="2">
                  <c:v>0.88</c:v>
                </c:pt>
                <c:pt idx="3">
                  <c:v>1.25</c:v>
                </c:pt>
                <c:pt idx="4">
                  <c:v>1.58</c:v>
                </c:pt>
                <c:pt idx="5">
                  <c:v>1.95</c:v>
                </c:pt>
                <c:pt idx="6">
                  <c:v>2.29</c:v>
                </c:pt>
                <c:pt idx="7">
                  <c:v>2.62</c:v>
                </c:pt>
                <c:pt idx="8">
                  <c:v>2.94</c:v>
                </c:pt>
                <c:pt idx="9">
                  <c:v>3.23</c:v>
                </c:pt>
                <c:pt idx="10">
                  <c:v>3.55</c:v>
                </c:pt>
                <c:pt idx="11">
                  <c:v>3.88</c:v>
                </c:pt>
                <c:pt idx="12">
                  <c:v>4.21</c:v>
                </c:pt>
                <c:pt idx="13">
                  <c:v>4.55</c:v>
                </c:pt>
                <c:pt idx="14">
                  <c:v>4.88</c:v>
                </c:pt>
                <c:pt idx="15">
                  <c:v>5.21</c:v>
                </c:pt>
                <c:pt idx="16">
                  <c:v>5.54</c:v>
                </c:pt>
                <c:pt idx="17">
                  <c:v>5.82</c:v>
                </c:pt>
                <c:pt idx="18">
                  <c:v>6.15</c:v>
                </c:pt>
                <c:pt idx="19">
                  <c:v>6.43</c:v>
                </c:pt>
                <c:pt idx="20">
                  <c:v>6.76</c:v>
                </c:pt>
                <c:pt idx="21">
                  <c:v>7.05</c:v>
                </c:pt>
              </c:numCache>
            </c:numRef>
          </c:yVal>
          <c:smooth val="1"/>
          <c:extLst>
            <c:ext xmlns:c16="http://schemas.microsoft.com/office/drawing/2014/chart" uri="{C3380CC4-5D6E-409C-BE32-E72D297353CC}">
              <c16:uniqueId val="{00000000-F2B1-A545-A060-3A238002B1A2}"/>
            </c:ext>
          </c:extLst>
        </c:ser>
        <c:dLbls>
          <c:showLegendKey val="0"/>
          <c:showVal val="0"/>
          <c:showCatName val="0"/>
          <c:showSerName val="0"/>
          <c:showPercent val="0"/>
          <c:showBubbleSize val="0"/>
        </c:dLbls>
        <c:axId val="556771696"/>
        <c:axId val="556775224"/>
      </c:scatterChart>
      <c:valAx>
        <c:axId val="5567716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75224"/>
        <c:crosses val="autoZero"/>
        <c:crossBetween val="midCat"/>
      </c:valAx>
      <c:valAx>
        <c:axId val="556775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Mass (g)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71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Pure</a:t>
            </a:r>
            <a:r>
              <a:rPr lang="en-US" baseline="0"/>
              <a:t> Water </a:t>
            </a:r>
            <a:r>
              <a:rPr lang="en-US"/>
              <a:t>Flux</a:t>
            </a:r>
            <a:r>
              <a:rPr lang="en-US" sz="1400" b="0"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DI Water'!$C$2:$C$3</c:f>
              <c:strCache>
                <c:ptCount val="2"/>
                <c:pt idx="0">
                  <c:v>Flux</c:v>
                </c:pt>
                <c:pt idx="1">
                  <c:v>L/h.m2.bar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'Sample 1 - DI Water'!$A$4:$A$300</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numCache>
            </c:numRef>
          </c:xVal>
          <c:yVal>
            <c:numRef>
              <c:f>'Sample 1 - DI Water'!$C$4:$C$300</c:f>
              <c:numCache>
                <c:formatCode>General</c:formatCode>
                <c:ptCount val="297"/>
                <c:pt idx="0">
                  <c:v>0.26712328767123295</c:v>
                </c:pt>
                <c:pt idx="1">
                  <c:v>0.76027397260273977</c:v>
                </c:pt>
                <c:pt idx="2">
                  <c:v>0.78082191780821941</c:v>
                </c:pt>
                <c:pt idx="3">
                  <c:v>0.76027397260273977</c:v>
                </c:pt>
                <c:pt idx="4">
                  <c:v>0.67808219178082207</c:v>
                </c:pt>
                <c:pt idx="5">
                  <c:v>0.76027397260273966</c:v>
                </c:pt>
                <c:pt idx="6">
                  <c:v>0.69863013698630172</c:v>
                </c:pt>
                <c:pt idx="7">
                  <c:v>0.67808219178082207</c:v>
                </c:pt>
                <c:pt idx="8">
                  <c:v>0.65753424657534221</c:v>
                </c:pt>
                <c:pt idx="9">
                  <c:v>0.59589041095890427</c:v>
                </c:pt>
                <c:pt idx="10">
                  <c:v>0.65753424657534221</c:v>
                </c:pt>
                <c:pt idx="11">
                  <c:v>0.67808219178082207</c:v>
                </c:pt>
                <c:pt idx="12">
                  <c:v>0.67808219178082207</c:v>
                </c:pt>
                <c:pt idx="13">
                  <c:v>0.69863013698630128</c:v>
                </c:pt>
                <c:pt idx="14">
                  <c:v>0.67808219178082207</c:v>
                </c:pt>
                <c:pt idx="15">
                  <c:v>0.67808219178082207</c:v>
                </c:pt>
                <c:pt idx="16">
                  <c:v>0.67808219178082207</c:v>
                </c:pt>
                <c:pt idx="17">
                  <c:v>0.57534246575342529</c:v>
                </c:pt>
                <c:pt idx="18">
                  <c:v>0.67808219178082207</c:v>
                </c:pt>
                <c:pt idx="19">
                  <c:v>0.57534246575342352</c:v>
                </c:pt>
                <c:pt idx="20">
                  <c:v>0.67808219178082207</c:v>
                </c:pt>
                <c:pt idx="21">
                  <c:v>0.59589041095890427</c:v>
                </c:pt>
                <c:pt idx="22">
                  <c:v>0.67808219178082207</c:v>
                </c:pt>
                <c:pt idx="23">
                  <c:v>0.59589041095890427</c:v>
                </c:pt>
                <c:pt idx="24">
                  <c:v>0.57534246575342529</c:v>
                </c:pt>
                <c:pt idx="25">
                  <c:v>0.57534246575342529</c:v>
                </c:pt>
                <c:pt idx="26">
                  <c:v>0.59589041095890249</c:v>
                </c:pt>
                <c:pt idx="27">
                  <c:v>0.6575342465753431</c:v>
                </c:pt>
                <c:pt idx="28">
                  <c:v>0.61643835616438514</c:v>
                </c:pt>
                <c:pt idx="29">
                  <c:v>0.57534246575342352</c:v>
                </c:pt>
                <c:pt idx="30">
                  <c:v>0.47260273972602834</c:v>
                </c:pt>
                <c:pt idx="31">
                  <c:v>0.57534246575342352</c:v>
                </c:pt>
                <c:pt idx="32">
                  <c:v>0.59589041095890605</c:v>
                </c:pt>
                <c:pt idx="33">
                  <c:v>0.57534246575342352</c:v>
                </c:pt>
                <c:pt idx="34">
                  <c:v>0.57534246575342352</c:v>
                </c:pt>
                <c:pt idx="35">
                  <c:v>0.49315068493150738</c:v>
                </c:pt>
                <c:pt idx="36">
                  <c:v>0.59589041095890605</c:v>
                </c:pt>
                <c:pt idx="37">
                  <c:v>0.55479452054794443</c:v>
                </c:pt>
                <c:pt idx="38">
                  <c:v>0.49315068493150738</c:v>
                </c:pt>
                <c:pt idx="39">
                  <c:v>0.57534246575342352</c:v>
                </c:pt>
                <c:pt idx="40">
                  <c:v>0.49315068493150738</c:v>
                </c:pt>
                <c:pt idx="41">
                  <c:v>0.57534246575342352</c:v>
                </c:pt>
                <c:pt idx="42">
                  <c:v>0.49315068493150738</c:v>
                </c:pt>
                <c:pt idx="43">
                  <c:v>0.49315068493150738</c:v>
                </c:pt>
                <c:pt idx="44">
                  <c:v>0.57534246575342718</c:v>
                </c:pt>
                <c:pt idx="45">
                  <c:v>0.49315068493150366</c:v>
                </c:pt>
                <c:pt idx="46">
                  <c:v>0.47260273972602834</c:v>
                </c:pt>
                <c:pt idx="47">
                  <c:v>0.49315068493150738</c:v>
                </c:pt>
                <c:pt idx="48">
                  <c:v>0.57534246575342352</c:v>
                </c:pt>
                <c:pt idx="49">
                  <c:v>0.49315068493150738</c:v>
                </c:pt>
                <c:pt idx="50">
                  <c:v>0.49315068493150738</c:v>
                </c:pt>
                <c:pt idx="51">
                  <c:v>0.47260273972602834</c:v>
                </c:pt>
                <c:pt idx="52">
                  <c:v>0.47260273972602834</c:v>
                </c:pt>
                <c:pt idx="53">
                  <c:v>0.49315068493150738</c:v>
                </c:pt>
                <c:pt idx="54">
                  <c:v>0.49315068493150366</c:v>
                </c:pt>
                <c:pt idx="55">
                  <c:v>0.47260273972602834</c:v>
                </c:pt>
                <c:pt idx="56">
                  <c:v>0.47260273972602834</c:v>
                </c:pt>
                <c:pt idx="57">
                  <c:v>0.49315068493150366</c:v>
                </c:pt>
                <c:pt idx="58">
                  <c:v>0.39041095890411232</c:v>
                </c:pt>
                <c:pt idx="59">
                  <c:v>0.47260273972602834</c:v>
                </c:pt>
                <c:pt idx="60">
                  <c:v>0.49315068493150366</c:v>
                </c:pt>
                <c:pt idx="61">
                  <c:v>0.47260273972602834</c:v>
                </c:pt>
                <c:pt idx="62">
                  <c:v>0.39041095890411232</c:v>
                </c:pt>
                <c:pt idx="63">
                  <c:v>0.47260273972602834</c:v>
                </c:pt>
                <c:pt idx="64">
                  <c:v>0.49315068493150366</c:v>
                </c:pt>
                <c:pt idx="65">
                  <c:v>0.36986301369862962</c:v>
                </c:pt>
                <c:pt idx="66">
                  <c:v>0.49315068493151104</c:v>
                </c:pt>
                <c:pt idx="67">
                  <c:v>0.47260273972602834</c:v>
                </c:pt>
                <c:pt idx="68">
                  <c:v>0.36986301369862962</c:v>
                </c:pt>
                <c:pt idx="69">
                  <c:v>0.47260273972602834</c:v>
                </c:pt>
                <c:pt idx="70">
                  <c:v>0.39041095890410499</c:v>
                </c:pt>
                <c:pt idx="71">
                  <c:v>0.47260273972602834</c:v>
                </c:pt>
                <c:pt idx="72">
                  <c:v>0.36986301369862962</c:v>
                </c:pt>
                <c:pt idx="73">
                  <c:v>0.47260273972602834</c:v>
                </c:pt>
                <c:pt idx="74">
                  <c:v>0.39041095890411232</c:v>
                </c:pt>
                <c:pt idx="75">
                  <c:v>0.36986301369862962</c:v>
                </c:pt>
                <c:pt idx="76">
                  <c:v>0.47260273972602834</c:v>
                </c:pt>
                <c:pt idx="77">
                  <c:v>0.39041095890410499</c:v>
                </c:pt>
                <c:pt idx="78">
                  <c:v>0.36986301369862962</c:v>
                </c:pt>
                <c:pt idx="79">
                  <c:v>0.47260273972602834</c:v>
                </c:pt>
                <c:pt idx="80">
                  <c:v>0.39041095890411232</c:v>
                </c:pt>
                <c:pt idx="81">
                  <c:v>0.39041095890411232</c:v>
                </c:pt>
                <c:pt idx="82">
                  <c:v>0.36986301369862962</c:v>
                </c:pt>
                <c:pt idx="83">
                  <c:v>0.36986301369862962</c:v>
                </c:pt>
                <c:pt idx="84">
                  <c:v>0.49315068493150366</c:v>
                </c:pt>
                <c:pt idx="85">
                  <c:v>0.39041095890411232</c:v>
                </c:pt>
                <c:pt idx="86">
                  <c:v>0.39041095890410499</c:v>
                </c:pt>
                <c:pt idx="87">
                  <c:v>0.39041095890411232</c:v>
                </c:pt>
                <c:pt idx="88">
                  <c:v>0.36986301369862962</c:v>
                </c:pt>
                <c:pt idx="89">
                  <c:v>0.39041095890411232</c:v>
                </c:pt>
                <c:pt idx="90">
                  <c:v>0.36986301369862962</c:v>
                </c:pt>
                <c:pt idx="91">
                  <c:v>0.39041095890411232</c:v>
                </c:pt>
                <c:pt idx="92">
                  <c:v>0.36986301369862962</c:v>
                </c:pt>
                <c:pt idx="93">
                  <c:v>0.41095890410958769</c:v>
                </c:pt>
                <c:pt idx="94">
                  <c:v>0.36986301369862962</c:v>
                </c:pt>
                <c:pt idx="95">
                  <c:v>0.36986301369862962</c:v>
                </c:pt>
                <c:pt idx="96">
                  <c:v>0.39041095890411232</c:v>
                </c:pt>
                <c:pt idx="97">
                  <c:v>0.39041095890410499</c:v>
                </c:pt>
                <c:pt idx="98">
                  <c:v>0.26712328767123816</c:v>
                </c:pt>
                <c:pt idx="99">
                  <c:v>0.39041095890410499</c:v>
                </c:pt>
                <c:pt idx="100">
                  <c:v>0.39041095890411232</c:v>
                </c:pt>
                <c:pt idx="101">
                  <c:v>0.39041095890410499</c:v>
                </c:pt>
                <c:pt idx="102">
                  <c:v>0.36986301369863689</c:v>
                </c:pt>
                <c:pt idx="103">
                  <c:v>0.28767123287670626</c:v>
                </c:pt>
                <c:pt idx="104">
                  <c:v>0.39041095890411232</c:v>
                </c:pt>
                <c:pt idx="105">
                  <c:v>0.39041095890411232</c:v>
                </c:pt>
                <c:pt idx="106">
                  <c:v>0.39041095890410499</c:v>
                </c:pt>
                <c:pt idx="107">
                  <c:v>0.28767123287671359</c:v>
                </c:pt>
                <c:pt idx="108">
                  <c:v>0.39041095890411232</c:v>
                </c:pt>
                <c:pt idx="109">
                  <c:v>0.36986301369862962</c:v>
                </c:pt>
                <c:pt idx="110">
                  <c:v>0.28767123287671359</c:v>
                </c:pt>
                <c:pt idx="111">
                  <c:v>0.39041095890410499</c:v>
                </c:pt>
                <c:pt idx="112">
                  <c:v>0.39041095890411232</c:v>
                </c:pt>
                <c:pt idx="113">
                  <c:v>0.26712328767123089</c:v>
                </c:pt>
                <c:pt idx="114">
                  <c:v>0.39041095890411232</c:v>
                </c:pt>
                <c:pt idx="115">
                  <c:v>0.39041095890411232</c:v>
                </c:pt>
                <c:pt idx="116">
                  <c:v>0.28767123287670626</c:v>
                </c:pt>
                <c:pt idx="117">
                  <c:v>0.39041095890411232</c:v>
                </c:pt>
                <c:pt idx="118">
                  <c:v>0.26712328767123089</c:v>
                </c:pt>
                <c:pt idx="119">
                  <c:v>0.39041095890411232</c:v>
                </c:pt>
                <c:pt idx="120">
                  <c:v>0.28767123287671359</c:v>
                </c:pt>
                <c:pt idx="121">
                  <c:v>0.39041095890410499</c:v>
                </c:pt>
                <c:pt idx="122">
                  <c:v>0.26712328767123816</c:v>
                </c:pt>
                <c:pt idx="123">
                  <c:v>0.39041095890410499</c:v>
                </c:pt>
                <c:pt idx="124">
                  <c:v>0.28767123287671359</c:v>
                </c:pt>
                <c:pt idx="125">
                  <c:v>0.36986301369862962</c:v>
                </c:pt>
                <c:pt idx="126">
                  <c:v>0.28767123287671359</c:v>
                </c:pt>
                <c:pt idx="127">
                  <c:v>0.36986301369862962</c:v>
                </c:pt>
                <c:pt idx="128">
                  <c:v>0.30821917808219623</c:v>
                </c:pt>
                <c:pt idx="129">
                  <c:v>0.28767123287670626</c:v>
                </c:pt>
                <c:pt idx="130">
                  <c:v>0.36986301369862962</c:v>
                </c:pt>
                <c:pt idx="131">
                  <c:v>0.28767123287671359</c:v>
                </c:pt>
                <c:pt idx="132">
                  <c:v>0.26712328767123816</c:v>
                </c:pt>
                <c:pt idx="133">
                  <c:v>0.39041095890410499</c:v>
                </c:pt>
                <c:pt idx="134">
                  <c:v>0.28767123287671359</c:v>
                </c:pt>
                <c:pt idx="135">
                  <c:v>0.28767123287671359</c:v>
                </c:pt>
                <c:pt idx="136">
                  <c:v>0.36986301369862962</c:v>
                </c:pt>
                <c:pt idx="137">
                  <c:v>0.28767123287671359</c:v>
                </c:pt>
                <c:pt idx="138">
                  <c:v>0.28767123287671359</c:v>
                </c:pt>
                <c:pt idx="139">
                  <c:v>0.28767123287671359</c:v>
                </c:pt>
                <c:pt idx="140">
                  <c:v>0.39041095890410499</c:v>
                </c:pt>
                <c:pt idx="141">
                  <c:v>0.26712328767123089</c:v>
                </c:pt>
                <c:pt idx="142">
                  <c:v>0.28767123287671359</c:v>
                </c:pt>
                <c:pt idx="143">
                  <c:v>0.26712328767123089</c:v>
                </c:pt>
                <c:pt idx="144">
                  <c:v>0.39041095890411959</c:v>
                </c:pt>
                <c:pt idx="145">
                  <c:v>0.28767123287671359</c:v>
                </c:pt>
                <c:pt idx="146">
                  <c:v>0.28767123287669893</c:v>
                </c:pt>
                <c:pt idx="147">
                  <c:v>0.28767123287671359</c:v>
                </c:pt>
                <c:pt idx="148">
                  <c:v>0.26712328767123816</c:v>
                </c:pt>
                <c:pt idx="149">
                  <c:v>0.26712328767123816</c:v>
                </c:pt>
                <c:pt idx="150">
                  <c:v>0.36986301369862962</c:v>
                </c:pt>
                <c:pt idx="151">
                  <c:v>0.3082191780821889</c:v>
                </c:pt>
                <c:pt idx="152">
                  <c:v>0.26712328767123816</c:v>
                </c:pt>
                <c:pt idx="153">
                  <c:v>0.26712328767122362</c:v>
                </c:pt>
                <c:pt idx="154">
                  <c:v>0.28767123287671359</c:v>
                </c:pt>
                <c:pt idx="155">
                  <c:v>0.28767123287671359</c:v>
                </c:pt>
                <c:pt idx="156">
                  <c:v>0.28767123287671359</c:v>
                </c:pt>
                <c:pt idx="157">
                  <c:v>0.28767123287671359</c:v>
                </c:pt>
                <c:pt idx="158">
                  <c:v>0.26712328767122362</c:v>
                </c:pt>
                <c:pt idx="159">
                  <c:v>0.28767123287671359</c:v>
                </c:pt>
                <c:pt idx="160">
                  <c:v>0.28767123287671359</c:v>
                </c:pt>
                <c:pt idx="161">
                  <c:v>0.28767123287671359</c:v>
                </c:pt>
                <c:pt idx="162">
                  <c:v>0.26712328767123816</c:v>
                </c:pt>
                <c:pt idx="163">
                  <c:v>0.3082191780821889</c:v>
                </c:pt>
                <c:pt idx="164">
                  <c:v>0.26712328767123816</c:v>
                </c:pt>
                <c:pt idx="165">
                  <c:v>0.28767123287671359</c:v>
                </c:pt>
                <c:pt idx="166">
                  <c:v>0.26712328767122362</c:v>
                </c:pt>
                <c:pt idx="167">
                  <c:v>0.28767123287671359</c:v>
                </c:pt>
                <c:pt idx="168">
                  <c:v>0.28767123287671359</c:v>
                </c:pt>
                <c:pt idx="169">
                  <c:v>0.28767123287671359</c:v>
                </c:pt>
                <c:pt idx="170">
                  <c:v>0.26712328767123816</c:v>
                </c:pt>
                <c:pt idx="171">
                  <c:v>0.28767123287671359</c:v>
                </c:pt>
                <c:pt idx="172">
                  <c:v>0.28767123287671359</c:v>
                </c:pt>
                <c:pt idx="173">
                  <c:v>0.28767123287669893</c:v>
                </c:pt>
                <c:pt idx="174">
                  <c:v>0.26712328767123816</c:v>
                </c:pt>
                <c:pt idx="175">
                  <c:v>0.20547945205479748</c:v>
                </c:pt>
                <c:pt idx="176">
                  <c:v>0.28767123287671359</c:v>
                </c:pt>
                <c:pt idx="177">
                  <c:v>0.26712328767122362</c:v>
                </c:pt>
                <c:pt idx="178">
                  <c:v>0.28767123287671359</c:v>
                </c:pt>
                <c:pt idx="179">
                  <c:v>0.28767123287671359</c:v>
                </c:pt>
                <c:pt idx="180">
                  <c:v>0.28767123287671359</c:v>
                </c:pt>
                <c:pt idx="181">
                  <c:v>0.18493150684932208</c:v>
                </c:pt>
                <c:pt idx="182">
                  <c:v>0.28767123287671359</c:v>
                </c:pt>
                <c:pt idx="183">
                  <c:v>0.26712328767122362</c:v>
                </c:pt>
                <c:pt idx="184">
                  <c:v>0.3082191780821889</c:v>
                </c:pt>
                <c:pt idx="185">
                  <c:v>0.26712328767123816</c:v>
                </c:pt>
                <c:pt idx="186">
                  <c:v>0.18493150684932208</c:v>
                </c:pt>
                <c:pt idx="187">
                  <c:v>0.28767123287671359</c:v>
                </c:pt>
                <c:pt idx="188">
                  <c:v>0.28767123287669893</c:v>
                </c:pt>
                <c:pt idx="189">
                  <c:v>0.28767123287671359</c:v>
                </c:pt>
                <c:pt idx="190">
                  <c:v>0.18493150684932208</c:v>
                </c:pt>
                <c:pt idx="191">
                  <c:v>0.28767123287671359</c:v>
                </c:pt>
                <c:pt idx="192">
                  <c:v>0.28767123287671359</c:v>
                </c:pt>
                <c:pt idx="193">
                  <c:v>0.28767123287671359</c:v>
                </c:pt>
                <c:pt idx="194">
                  <c:v>0.18493150684930751</c:v>
                </c:pt>
              </c:numCache>
            </c:numRef>
          </c:yVal>
          <c:smooth val="1"/>
          <c:extLst>
            <c:ext xmlns:c16="http://schemas.microsoft.com/office/drawing/2014/chart" uri="{C3380CC4-5D6E-409C-BE32-E72D297353CC}">
              <c16:uniqueId val="{00000000-29FA-DA41-95DC-CEAF4FD238B7}"/>
            </c:ext>
          </c:extLst>
        </c:ser>
        <c:dLbls>
          <c:showLegendKey val="0"/>
          <c:showVal val="0"/>
          <c:showCatName val="0"/>
          <c:showSerName val="0"/>
          <c:showPercent val="0"/>
          <c:showBubbleSize val="0"/>
        </c:dLbls>
        <c:axId val="390595128"/>
        <c:axId val="390591208"/>
      </c:scatterChart>
      <c:valAx>
        <c:axId val="3905951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1208"/>
        <c:crosses val="autoZero"/>
        <c:crossBetween val="midCat"/>
      </c:valAx>
      <c:valAx>
        <c:axId val="390591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Flux (L/h.m</a:t>
                </a:r>
                <a:r>
                  <a:rPr lang="en-US" baseline="30000"/>
                  <a:t>2</a:t>
                </a:r>
                <a:r>
                  <a:rPr lang="en-US" baseline="0"/>
                  <a:t>bar</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5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Mass</a:t>
            </a:r>
            <a:endParaRPr lang="en-US" sz="1400" b="0" i="0" u="none" strike="noStrike" baseline="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NaCl Solution'!$C$2:$C$3</c:f>
              <c:strCache>
                <c:ptCount val="2"/>
                <c:pt idx="0">
                  <c:v>Total Mass</c:v>
                </c:pt>
                <c:pt idx="1">
                  <c:v>grams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'Sample 1 - NaCl Solution'!$A$4:$A$455</c:f>
              <c:numCache>
                <c:formatCode>General</c:formatCode>
                <c:ptCount val="4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numCache>
            </c:numRef>
          </c:xVal>
          <c:yVal>
            <c:numRef>
              <c:f>'Sample 1 - NaCl Solution'!$C$4:$C$455</c:f>
              <c:numCache>
                <c:formatCode>General</c:formatCode>
                <c:ptCount val="452"/>
                <c:pt idx="0">
                  <c:v>9.9999999999980105E-3</c:v>
                </c:pt>
                <c:pt idx="1">
                  <c:v>0.11999999999999744</c:v>
                </c:pt>
                <c:pt idx="2">
                  <c:v>0.46999999999999886</c:v>
                </c:pt>
                <c:pt idx="3">
                  <c:v>0.85000000000000142</c:v>
                </c:pt>
                <c:pt idx="4">
                  <c:v>1.1799999999999997</c:v>
                </c:pt>
                <c:pt idx="5">
                  <c:v>1.5300000000000011</c:v>
                </c:pt>
                <c:pt idx="6">
                  <c:v>1.9099999999999966</c:v>
                </c:pt>
                <c:pt idx="7">
                  <c:v>2.25</c:v>
                </c:pt>
                <c:pt idx="8">
                  <c:v>2.5300000000000011</c:v>
                </c:pt>
                <c:pt idx="9">
                  <c:v>2.8699999999999974</c:v>
                </c:pt>
                <c:pt idx="10">
                  <c:v>3.2199999999999989</c:v>
                </c:pt>
                <c:pt idx="11">
                  <c:v>3.5</c:v>
                </c:pt>
                <c:pt idx="12">
                  <c:v>3.8299999999999983</c:v>
                </c:pt>
                <c:pt idx="13">
                  <c:v>4.1700000000000017</c:v>
                </c:pt>
                <c:pt idx="14">
                  <c:v>4.4600000000000009</c:v>
                </c:pt>
                <c:pt idx="15">
                  <c:v>4.7999999999999972</c:v>
                </c:pt>
                <c:pt idx="16">
                  <c:v>5.0799999999999983</c:v>
                </c:pt>
                <c:pt idx="17">
                  <c:v>5.4200000000000017</c:v>
                </c:pt>
                <c:pt idx="18">
                  <c:v>5.759999999999998</c:v>
                </c:pt>
                <c:pt idx="19">
                  <c:v>6.0399999999999991</c:v>
                </c:pt>
                <c:pt idx="20">
                  <c:v>6.3800000000000026</c:v>
                </c:pt>
                <c:pt idx="21">
                  <c:v>6.6700000000000017</c:v>
                </c:pt>
                <c:pt idx="22">
                  <c:v>7</c:v>
                </c:pt>
                <c:pt idx="23">
                  <c:v>7.2899999999999991</c:v>
                </c:pt>
                <c:pt idx="24">
                  <c:v>7.5799999999999983</c:v>
                </c:pt>
                <c:pt idx="25">
                  <c:v>7.9099999999999966</c:v>
                </c:pt>
                <c:pt idx="26">
                  <c:v>8.2100000000000009</c:v>
                </c:pt>
                <c:pt idx="27">
                  <c:v>8.5399999999999991</c:v>
                </c:pt>
                <c:pt idx="28">
                  <c:v>8.8800000000000026</c:v>
                </c:pt>
                <c:pt idx="29">
                  <c:v>9.1700000000000017</c:v>
                </c:pt>
                <c:pt idx="30">
                  <c:v>9.509999999999998</c:v>
                </c:pt>
                <c:pt idx="31">
                  <c:v>9.7999999999999972</c:v>
                </c:pt>
                <c:pt idx="32">
                  <c:v>10.119999999999997</c:v>
                </c:pt>
                <c:pt idx="33">
                  <c:v>10.46</c:v>
                </c:pt>
                <c:pt idx="34">
                  <c:v>10.799999999999997</c:v>
                </c:pt>
                <c:pt idx="35">
                  <c:v>11.079999999999998</c:v>
                </c:pt>
                <c:pt idx="36">
                  <c:v>11.420000000000002</c:v>
                </c:pt>
                <c:pt idx="37">
                  <c:v>11.770000000000003</c:v>
                </c:pt>
                <c:pt idx="38">
                  <c:v>12.04</c:v>
                </c:pt>
                <c:pt idx="39">
                  <c:v>12.310000000000002</c:v>
                </c:pt>
                <c:pt idx="40">
                  <c:v>12.590000000000003</c:v>
                </c:pt>
                <c:pt idx="41">
                  <c:v>12.939999999999998</c:v>
                </c:pt>
                <c:pt idx="42">
                  <c:v>13.259999999999998</c:v>
                </c:pt>
                <c:pt idx="43">
                  <c:v>13.560000000000002</c:v>
                </c:pt>
                <c:pt idx="44">
                  <c:v>13.899999999999999</c:v>
                </c:pt>
                <c:pt idx="45">
                  <c:v>14.229999999999997</c:v>
                </c:pt>
                <c:pt idx="46">
                  <c:v>14.560000000000002</c:v>
                </c:pt>
                <c:pt idx="47">
                  <c:v>14.899999999999999</c:v>
                </c:pt>
                <c:pt idx="48">
                  <c:v>15.189999999999998</c:v>
                </c:pt>
                <c:pt idx="49">
                  <c:v>15.36</c:v>
                </c:pt>
                <c:pt idx="50">
                  <c:v>15.420000000000002</c:v>
                </c:pt>
                <c:pt idx="51">
                  <c:v>15.739999999999995</c:v>
                </c:pt>
                <c:pt idx="52">
                  <c:v>16.03</c:v>
                </c:pt>
                <c:pt idx="53">
                  <c:v>16.36</c:v>
                </c:pt>
                <c:pt idx="54">
                  <c:v>16.700000000000003</c:v>
                </c:pt>
                <c:pt idx="55">
                  <c:v>17.040000000000006</c:v>
                </c:pt>
                <c:pt idx="56">
                  <c:v>17.370000000000005</c:v>
                </c:pt>
                <c:pt idx="57">
                  <c:v>17.700000000000003</c:v>
                </c:pt>
                <c:pt idx="58">
                  <c:v>18.049999999999997</c:v>
                </c:pt>
                <c:pt idx="59">
                  <c:v>18.32</c:v>
                </c:pt>
                <c:pt idx="60">
                  <c:v>18.57</c:v>
                </c:pt>
                <c:pt idx="61">
                  <c:v>18.909999999999997</c:v>
                </c:pt>
                <c:pt idx="62">
                  <c:v>19.25</c:v>
                </c:pt>
                <c:pt idx="63">
                  <c:v>19.590000000000003</c:v>
                </c:pt>
                <c:pt idx="64">
                  <c:v>19.920000000000002</c:v>
                </c:pt>
                <c:pt idx="65">
                  <c:v>20.259999999999998</c:v>
                </c:pt>
                <c:pt idx="66">
                  <c:v>20.6</c:v>
                </c:pt>
                <c:pt idx="67">
                  <c:v>20.840000000000003</c:v>
                </c:pt>
                <c:pt idx="68">
                  <c:v>21.18</c:v>
                </c:pt>
                <c:pt idx="69">
                  <c:v>21.46</c:v>
                </c:pt>
                <c:pt idx="70">
                  <c:v>21.67</c:v>
                </c:pt>
                <c:pt idx="71">
                  <c:v>21.990000000000002</c:v>
                </c:pt>
                <c:pt idx="72">
                  <c:v>22.310000000000002</c:v>
                </c:pt>
                <c:pt idx="73">
                  <c:v>22.509999999999998</c:v>
                </c:pt>
                <c:pt idx="74">
                  <c:v>22.85</c:v>
                </c:pt>
                <c:pt idx="75">
                  <c:v>23.15</c:v>
                </c:pt>
                <c:pt idx="76">
                  <c:v>23.5</c:v>
                </c:pt>
                <c:pt idx="77">
                  <c:v>23.840000000000003</c:v>
                </c:pt>
                <c:pt idx="78">
                  <c:v>24.189999999999998</c:v>
                </c:pt>
                <c:pt idx="79">
                  <c:v>24.409999999999997</c:v>
                </c:pt>
                <c:pt idx="80">
                  <c:v>24.740000000000002</c:v>
                </c:pt>
                <c:pt idx="81">
                  <c:v>25.1</c:v>
                </c:pt>
                <c:pt idx="82">
                  <c:v>25.409999999999997</c:v>
                </c:pt>
                <c:pt idx="83">
                  <c:v>25.75</c:v>
                </c:pt>
                <c:pt idx="84">
                  <c:v>26.08</c:v>
                </c:pt>
                <c:pt idx="85">
                  <c:v>26.4</c:v>
                </c:pt>
                <c:pt idx="86">
                  <c:v>26.630000000000003</c:v>
                </c:pt>
                <c:pt idx="87">
                  <c:v>26.85</c:v>
                </c:pt>
                <c:pt idx="88">
                  <c:v>27.14</c:v>
                </c:pt>
                <c:pt idx="89">
                  <c:v>27.369999999999997</c:v>
                </c:pt>
                <c:pt idx="90">
                  <c:v>27.71</c:v>
                </c:pt>
                <c:pt idx="91">
                  <c:v>28.04</c:v>
                </c:pt>
                <c:pt idx="92">
                  <c:v>28.380000000000003</c:v>
                </c:pt>
                <c:pt idx="93">
                  <c:v>28.72</c:v>
                </c:pt>
                <c:pt idx="94">
                  <c:v>28.979999999999997</c:v>
                </c:pt>
                <c:pt idx="95">
                  <c:v>29.32</c:v>
                </c:pt>
                <c:pt idx="96">
                  <c:v>29.71</c:v>
                </c:pt>
                <c:pt idx="97">
                  <c:v>30.04</c:v>
                </c:pt>
                <c:pt idx="98">
                  <c:v>30.270000000000003</c:v>
                </c:pt>
                <c:pt idx="99">
                  <c:v>30.64</c:v>
                </c:pt>
                <c:pt idx="100">
                  <c:v>30.89</c:v>
                </c:pt>
                <c:pt idx="101">
                  <c:v>31.25</c:v>
                </c:pt>
                <c:pt idx="102">
                  <c:v>31.54</c:v>
                </c:pt>
                <c:pt idx="103">
                  <c:v>31.86</c:v>
                </c:pt>
                <c:pt idx="104">
                  <c:v>32.22</c:v>
                </c:pt>
                <c:pt idx="105">
                  <c:v>32.590000000000003</c:v>
                </c:pt>
                <c:pt idx="106">
                  <c:v>32.799999999999997</c:v>
                </c:pt>
                <c:pt idx="107">
                  <c:v>33.1</c:v>
                </c:pt>
                <c:pt idx="108">
                  <c:v>33.31</c:v>
                </c:pt>
                <c:pt idx="109">
                  <c:v>33.619999999999997</c:v>
                </c:pt>
                <c:pt idx="110">
                  <c:v>33.879999999999995</c:v>
                </c:pt>
                <c:pt idx="111">
                  <c:v>34.22</c:v>
                </c:pt>
                <c:pt idx="112">
                  <c:v>34.519999999999996</c:v>
                </c:pt>
                <c:pt idx="113">
                  <c:v>34.879999999999995</c:v>
                </c:pt>
                <c:pt idx="114">
                  <c:v>35.17</c:v>
                </c:pt>
                <c:pt idx="115">
                  <c:v>35.5</c:v>
                </c:pt>
                <c:pt idx="116">
                  <c:v>35.840000000000003</c:v>
                </c:pt>
                <c:pt idx="117">
                  <c:v>36.150000000000006</c:v>
                </c:pt>
                <c:pt idx="118">
                  <c:v>36.5</c:v>
                </c:pt>
                <c:pt idx="119">
                  <c:v>36.83</c:v>
                </c:pt>
                <c:pt idx="120">
                  <c:v>36.93</c:v>
                </c:pt>
                <c:pt idx="121">
                  <c:v>37.239999999999995</c:v>
                </c:pt>
                <c:pt idx="122">
                  <c:v>37.53</c:v>
                </c:pt>
                <c:pt idx="123">
                  <c:v>37.869999999999997</c:v>
                </c:pt>
                <c:pt idx="124">
                  <c:v>38.21</c:v>
                </c:pt>
                <c:pt idx="125">
                  <c:v>38.46</c:v>
                </c:pt>
                <c:pt idx="126">
                  <c:v>38.809999999999995</c:v>
                </c:pt>
                <c:pt idx="127">
                  <c:v>39.1</c:v>
                </c:pt>
                <c:pt idx="128">
                  <c:v>39.46</c:v>
                </c:pt>
                <c:pt idx="129">
                  <c:v>39.79</c:v>
                </c:pt>
                <c:pt idx="130">
                  <c:v>40.11</c:v>
                </c:pt>
                <c:pt idx="131">
                  <c:v>40.409999999999997</c:v>
                </c:pt>
                <c:pt idx="132">
                  <c:v>40.699999999999996</c:v>
                </c:pt>
                <c:pt idx="133">
                  <c:v>41.059999999999995</c:v>
                </c:pt>
                <c:pt idx="134">
                  <c:v>41.33</c:v>
                </c:pt>
                <c:pt idx="135">
                  <c:v>41.71</c:v>
                </c:pt>
                <c:pt idx="136">
                  <c:v>41.89</c:v>
                </c:pt>
                <c:pt idx="137">
                  <c:v>42.129999999999995</c:v>
                </c:pt>
                <c:pt idx="138">
                  <c:v>42.43</c:v>
                </c:pt>
                <c:pt idx="139">
                  <c:v>42.75</c:v>
                </c:pt>
                <c:pt idx="140">
                  <c:v>43.019999999999996</c:v>
                </c:pt>
                <c:pt idx="141">
                  <c:v>43.4</c:v>
                </c:pt>
                <c:pt idx="142">
                  <c:v>43.75</c:v>
                </c:pt>
                <c:pt idx="143">
                  <c:v>44.04</c:v>
                </c:pt>
                <c:pt idx="144">
                  <c:v>44.42</c:v>
                </c:pt>
                <c:pt idx="145">
                  <c:v>44.769999999999996</c:v>
                </c:pt>
                <c:pt idx="146">
                  <c:v>44.96</c:v>
                </c:pt>
                <c:pt idx="147">
                  <c:v>45.33</c:v>
                </c:pt>
                <c:pt idx="148">
                  <c:v>45.68</c:v>
                </c:pt>
                <c:pt idx="149">
                  <c:v>45.89</c:v>
                </c:pt>
                <c:pt idx="150">
                  <c:v>46.15</c:v>
                </c:pt>
                <c:pt idx="151">
                  <c:v>46.43</c:v>
                </c:pt>
                <c:pt idx="152">
                  <c:v>46.699999999999996</c:v>
                </c:pt>
                <c:pt idx="153">
                  <c:v>47.07</c:v>
                </c:pt>
                <c:pt idx="154">
                  <c:v>47.37</c:v>
                </c:pt>
                <c:pt idx="155">
                  <c:v>47.72</c:v>
                </c:pt>
                <c:pt idx="156">
                  <c:v>48.1</c:v>
                </c:pt>
                <c:pt idx="157">
                  <c:v>48.309999999999995</c:v>
                </c:pt>
                <c:pt idx="158">
                  <c:v>48.69</c:v>
                </c:pt>
                <c:pt idx="159">
                  <c:v>49.07</c:v>
                </c:pt>
                <c:pt idx="160">
                  <c:v>49.26</c:v>
                </c:pt>
                <c:pt idx="161">
                  <c:v>49.489999999999995</c:v>
                </c:pt>
                <c:pt idx="162">
                  <c:v>49.739999999999995</c:v>
                </c:pt>
                <c:pt idx="163">
                  <c:v>50.08</c:v>
                </c:pt>
                <c:pt idx="164">
                  <c:v>50.47</c:v>
                </c:pt>
                <c:pt idx="165">
                  <c:v>50.71</c:v>
                </c:pt>
                <c:pt idx="166">
                  <c:v>51.08</c:v>
                </c:pt>
                <c:pt idx="167">
                  <c:v>51.42</c:v>
                </c:pt>
                <c:pt idx="168">
                  <c:v>51.79</c:v>
                </c:pt>
                <c:pt idx="169">
                  <c:v>52.08</c:v>
                </c:pt>
                <c:pt idx="170">
                  <c:v>52.370000000000005</c:v>
                </c:pt>
                <c:pt idx="171">
                  <c:v>52.569999999999993</c:v>
                </c:pt>
                <c:pt idx="172">
                  <c:v>52.899999999999991</c:v>
                </c:pt>
                <c:pt idx="173">
                  <c:v>53.14</c:v>
                </c:pt>
                <c:pt idx="174">
                  <c:v>53.42</c:v>
                </c:pt>
                <c:pt idx="175">
                  <c:v>53.760000000000005</c:v>
                </c:pt>
                <c:pt idx="176">
                  <c:v>54.099999999999994</c:v>
                </c:pt>
                <c:pt idx="177">
                  <c:v>54.44</c:v>
                </c:pt>
                <c:pt idx="178">
                  <c:v>54.83</c:v>
                </c:pt>
                <c:pt idx="179">
                  <c:v>55.06</c:v>
                </c:pt>
                <c:pt idx="180">
                  <c:v>55.230000000000004</c:v>
                </c:pt>
                <c:pt idx="181">
                  <c:v>55.56</c:v>
                </c:pt>
                <c:pt idx="182">
                  <c:v>55.86</c:v>
                </c:pt>
                <c:pt idx="183">
                  <c:v>56.239999999999995</c:v>
                </c:pt>
                <c:pt idx="184">
                  <c:v>56.56</c:v>
                </c:pt>
                <c:pt idx="185">
                  <c:v>56.819999999999993</c:v>
                </c:pt>
                <c:pt idx="186">
                  <c:v>57.19</c:v>
                </c:pt>
                <c:pt idx="187">
                  <c:v>57.5</c:v>
                </c:pt>
                <c:pt idx="188">
                  <c:v>57.8</c:v>
                </c:pt>
                <c:pt idx="189">
                  <c:v>58.099999999999994</c:v>
                </c:pt>
                <c:pt idx="190">
                  <c:v>58.429999999999993</c:v>
                </c:pt>
                <c:pt idx="191">
                  <c:v>58.599999999999994</c:v>
                </c:pt>
                <c:pt idx="192">
                  <c:v>58.769999999999996</c:v>
                </c:pt>
                <c:pt idx="193">
                  <c:v>59.069999999999993</c:v>
                </c:pt>
                <c:pt idx="194">
                  <c:v>59.459999999999994</c:v>
                </c:pt>
                <c:pt idx="195">
                  <c:v>59.75</c:v>
                </c:pt>
                <c:pt idx="196">
                  <c:v>60.06</c:v>
                </c:pt>
                <c:pt idx="197">
                  <c:v>60.370000000000005</c:v>
                </c:pt>
                <c:pt idx="198">
                  <c:v>60.760000000000005</c:v>
                </c:pt>
                <c:pt idx="199">
                  <c:v>61.05</c:v>
                </c:pt>
                <c:pt idx="200">
                  <c:v>61.39</c:v>
                </c:pt>
                <c:pt idx="201">
                  <c:v>61.730000000000004</c:v>
                </c:pt>
                <c:pt idx="202">
                  <c:v>61.94</c:v>
                </c:pt>
                <c:pt idx="203">
                  <c:v>62.3</c:v>
                </c:pt>
                <c:pt idx="204">
                  <c:v>62.649999999999991</c:v>
                </c:pt>
                <c:pt idx="205">
                  <c:v>62.81</c:v>
                </c:pt>
                <c:pt idx="206">
                  <c:v>63.08</c:v>
                </c:pt>
                <c:pt idx="207">
                  <c:v>63.45</c:v>
                </c:pt>
                <c:pt idx="208">
                  <c:v>63.789999999999992</c:v>
                </c:pt>
                <c:pt idx="209">
                  <c:v>64.06</c:v>
                </c:pt>
                <c:pt idx="210">
                  <c:v>64.44</c:v>
                </c:pt>
                <c:pt idx="211">
                  <c:v>64.679999999999993</c:v>
                </c:pt>
                <c:pt idx="212">
                  <c:v>65.010000000000005</c:v>
                </c:pt>
                <c:pt idx="213">
                  <c:v>65.239999999999995</c:v>
                </c:pt>
                <c:pt idx="214">
                  <c:v>65.539999999999992</c:v>
                </c:pt>
                <c:pt idx="215">
                  <c:v>65.929999999999993</c:v>
                </c:pt>
                <c:pt idx="216">
                  <c:v>66.179999999999993</c:v>
                </c:pt>
                <c:pt idx="217">
                  <c:v>66.56</c:v>
                </c:pt>
                <c:pt idx="218">
                  <c:v>66.89</c:v>
                </c:pt>
                <c:pt idx="219">
                  <c:v>67.14</c:v>
                </c:pt>
                <c:pt idx="220">
                  <c:v>67.319999999999993</c:v>
                </c:pt>
                <c:pt idx="221">
                  <c:v>67.61</c:v>
                </c:pt>
                <c:pt idx="222">
                  <c:v>68</c:v>
                </c:pt>
                <c:pt idx="223">
                  <c:v>68.34</c:v>
                </c:pt>
                <c:pt idx="224">
                  <c:v>68.679999999999993</c:v>
                </c:pt>
                <c:pt idx="225">
                  <c:v>69</c:v>
                </c:pt>
                <c:pt idx="226">
                  <c:v>69.31</c:v>
                </c:pt>
                <c:pt idx="227">
                  <c:v>69.64</c:v>
                </c:pt>
                <c:pt idx="228">
                  <c:v>69.83</c:v>
                </c:pt>
                <c:pt idx="229">
                  <c:v>70.11</c:v>
                </c:pt>
                <c:pt idx="230">
                  <c:v>70.5</c:v>
                </c:pt>
                <c:pt idx="231">
                  <c:v>70.84</c:v>
                </c:pt>
                <c:pt idx="232">
                  <c:v>71.23</c:v>
                </c:pt>
                <c:pt idx="233">
                  <c:v>71.38</c:v>
                </c:pt>
                <c:pt idx="234">
                  <c:v>71.760000000000005</c:v>
                </c:pt>
                <c:pt idx="235">
                  <c:v>72.03</c:v>
                </c:pt>
                <c:pt idx="236">
                  <c:v>72.319999999999993</c:v>
                </c:pt>
                <c:pt idx="237">
                  <c:v>72.679999999999993</c:v>
                </c:pt>
                <c:pt idx="238">
                  <c:v>72.92</c:v>
                </c:pt>
                <c:pt idx="239">
                  <c:v>73.14</c:v>
                </c:pt>
                <c:pt idx="240">
                  <c:v>73.41</c:v>
                </c:pt>
                <c:pt idx="241">
                  <c:v>73.819999999999993</c:v>
                </c:pt>
                <c:pt idx="242">
                  <c:v>74.179999999999993</c:v>
                </c:pt>
                <c:pt idx="243">
                  <c:v>74.569999999999993</c:v>
                </c:pt>
                <c:pt idx="244">
                  <c:v>74.86</c:v>
                </c:pt>
                <c:pt idx="245">
                  <c:v>75.2</c:v>
                </c:pt>
                <c:pt idx="246">
                  <c:v>75.33</c:v>
                </c:pt>
                <c:pt idx="247">
                  <c:v>75.62</c:v>
                </c:pt>
                <c:pt idx="248">
                  <c:v>75.989999999999995</c:v>
                </c:pt>
                <c:pt idx="249">
                  <c:v>76.289999999999992</c:v>
                </c:pt>
                <c:pt idx="250">
                  <c:v>76.58</c:v>
                </c:pt>
                <c:pt idx="251">
                  <c:v>76.95</c:v>
                </c:pt>
                <c:pt idx="252">
                  <c:v>77.25</c:v>
                </c:pt>
                <c:pt idx="253">
                  <c:v>77.58</c:v>
                </c:pt>
                <c:pt idx="254">
                  <c:v>77.77</c:v>
                </c:pt>
                <c:pt idx="255">
                  <c:v>78.2</c:v>
                </c:pt>
                <c:pt idx="256">
                  <c:v>78.53</c:v>
                </c:pt>
                <c:pt idx="257">
                  <c:v>78.819999999999993</c:v>
                </c:pt>
                <c:pt idx="258">
                  <c:v>79.11</c:v>
                </c:pt>
                <c:pt idx="259">
                  <c:v>79.45</c:v>
                </c:pt>
                <c:pt idx="260">
                  <c:v>79.760000000000005</c:v>
                </c:pt>
                <c:pt idx="261">
                  <c:v>80.05</c:v>
                </c:pt>
                <c:pt idx="262">
                  <c:v>80.349999999999994</c:v>
                </c:pt>
                <c:pt idx="263">
                  <c:v>80.679999999999993</c:v>
                </c:pt>
                <c:pt idx="264">
                  <c:v>80.97</c:v>
                </c:pt>
                <c:pt idx="265">
                  <c:v>81.28</c:v>
                </c:pt>
                <c:pt idx="266">
                  <c:v>81.53</c:v>
                </c:pt>
                <c:pt idx="267">
                  <c:v>81.88</c:v>
                </c:pt>
                <c:pt idx="268">
                  <c:v>82.17</c:v>
                </c:pt>
                <c:pt idx="269">
                  <c:v>82.539999999999992</c:v>
                </c:pt>
                <c:pt idx="270">
                  <c:v>82.75</c:v>
                </c:pt>
                <c:pt idx="271">
                  <c:v>82.92</c:v>
                </c:pt>
                <c:pt idx="272">
                  <c:v>83.23</c:v>
                </c:pt>
                <c:pt idx="273">
                  <c:v>83.62</c:v>
                </c:pt>
                <c:pt idx="274">
                  <c:v>83.94</c:v>
                </c:pt>
                <c:pt idx="275">
                  <c:v>84.1</c:v>
                </c:pt>
                <c:pt idx="276">
                  <c:v>84.48</c:v>
                </c:pt>
                <c:pt idx="277">
                  <c:v>84.84</c:v>
                </c:pt>
                <c:pt idx="278">
                  <c:v>85.09</c:v>
                </c:pt>
                <c:pt idx="279">
                  <c:v>85.42</c:v>
                </c:pt>
                <c:pt idx="280">
                  <c:v>85.76</c:v>
                </c:pt>
                <c:pt idx="281">
                  <c:v>85.99</c:v>
                </c:pt>
                <c:pt idx="282">
                  <c:v>86.14</c:v>
                </c:pt>
                <c:pt idx="283">
                  <c:v>86.52</c:v>
                </c:pt>
                <c:pt idx="284">
                  <c:v>86.85</c:v>
                </c:pt>
                <c:pt idx="285">
                  <c:v>87.19</c:v>
                </c:pt>
                <c:pt idx="286">
                  <c:v>87.52</c:v>
                </c:pt>
                <c:pt idx="287">
                  <c:v>87.8</c:v>
                </c:pt>
                <c:pt idx="288">
                  <c:v>88.07</c:v>
                </c:pt>
                <c:pt idx="289">
                  <c:v>88.38</c:v>
                </c:pt>
                <c:pt idx="290">
                  <c:v>88.7</c:v>
                </c:pt>
                <c:pt idx="291">
                  <c:v>89.09</c:v>
                </c:pt>
                <c:pt idx="292">
                  <c:v>89.37</c:v>
                </c:pt>
                <c:pt idx="293">
                  <c:v>89.61</c:v>
                </c:pt>
                <c:pt idx="294">
                  <c:v>89.87</c:v>
                </c:pt>
                <c:pt idx="295">
                  <c:v>90.19</c:v>
                </c:pt>
                <c:pt idx="296">
                  <c:v>90.5</c:v>
                </c:pt>
                <c:pt idx="297">
                  <c:v>90.789999999999992</c:v>
                </c:pt>
                <c:pt idx="298">
                  <c:v>91.19</c:v>
                </c:pt>
                <c:pt idx="299">
                  <c:v>91.31</c:v>
                </c:pt>
                <c:pt idx="300">
                  <c:v>91.7</c:v>
                </c:pt>
                <c:pt idx="301">
                  <c:v>92.11</c:v>
                </c:pt>
                <c:pt idx="302">
                  <c:v>92.33</c:v>
                </c:pt>
                <c:pt idx="303">
                  <c:v>92.6</c:v>
                </c:pt>
                <c:pt idx="304">
                  <c:v>93</c:v>
                </c:pt>
                <c:pt idx="305">
                  <c:v>93.27</c:v>
                </c:pt>
                <c:pt idx="306">
                  <c:v>93.39</c:v>
                </c:pt>
                <c:pt idx="307">
                  <c:v>93.78</c:v>
                </c:pt>
                <c:pt idx="308">
                  <c:v>94.179999999999993</c:v>
                </c:pt>
                <c:pt idx="309">
                  <c:v>94.42</c:v>
                </c:pt>
                <c:pt idx="310">
                  <c:v>94.649999999999991</c:v>
                </c:pt>
                <c:pt idx="311">
                  <c:v>95.02</c:v>
                </c:pt>
                <c:pt idx="312">
                  <c:v>95.35</c:v>
                </c:pt>
                <c:pt idx="313">
                  <c:v>95.6</c:v>
                </c:pt>
                <c:pt idx="314">
                  <c:v>95.95</c:v>
                </c:pt>
                <c:pt idx="315">
                  <c:v>96.24</c:v>
                </c:pt>
                <c:pt idx="316">
                  <c:v>96.399999999999991</c:v>
                </c:pt>
                <c:pt idx="317">
                  <c:v>96.75</c:v>
                </c:pt>
                <c:pt idx="318">
                  <c:v>97.1</c:v>
                </c:pt>
                <c:pt idx="319">
                  <c:v>97.48</c:v>
                </c:pt>
                <c:pt idx="320">
                  <c:v>97.67</c:v>
                </c:pt>
                <c:pt idx="321">
                  <c:v>98.08</c:v>
                </c:pt>
                <c:pt idx="322">
                  <c:v>98.37</c:v>
                </c:pt>
                <c:pt idx="323">
                  <c:v>98.58</c:v>
                </c:pt>
                <c:pt idx="324">
                  <c:v>98.95</c:v>
                </c:pt>
                <c:pt idx="325">
                  <c:v>99.28</c:v>
                </c:pt>
                <c:pt idx="326">
                  <c:v>99.49</c:v>
                </c:pt>
                <c:pt idx="327">
                  <c:v>99.81</c:v>
                </c:pt>
                <c:pt idx="328">
                  <c:v>100.14</c:v>
                </c:pt>
                <c:pt idx="329">
                  <c:v>100.42</c:v>
                </c:pt>
                <c:pt idx="330">
                  <c:v>100.74</c:v>
                </c:pt>
                <c:pt idx="331">
                  <c:v>101.03</c:v>
                </c:pt>
                <c:pt idx="332">
                  <c:v>101.3</c:v>
                </c:pt>
                <c:pt idx="333">
                  <c:v>101.37</c:v>
                </c:pt>
                <c:pt idx="334">
                  <c:v>101.8</c:v>
                </c:pt>
                <c:pt idx="335">
                  <c:v>102.06</c:v>
                </c:pt>
                <c:pt idx="336">
                  <c:v>102.22</c:v>
                </c:pt>
                <c:pt idx="337">
                  <c:v>102.58</c:v>
                </c:pt>
                <c:pt idx="338">
                  <c:v>102.87</c:v>
                </c:pt>
                <c:pt idx="339">
                  <c:v>103.12</c:v>
                </c:pt>
                <c:pt idx="340">
                  <c:v>103.42</c:v>
                </c:pt>
                <c:pt idx="341">
                  <c:v>103.80000000000001</c:v>
                </c:pt>
              </c:numCache>
            </c:numRef>
          </c:yVal>
          <c:smooth val="1"/>
          <c:extLst>
            <c:ext xmlns:c16="http://schemas.microsoft.com/office/drawing/2014/chart" uri="{C3380CC4-5D6E-409C-BE32-E72D297353CC}">
              <c16:uniqueId val="{00000000-C979-2B46-B032-588E67552157}"/>
            </c:ext>
          </c:extLst>
        </c:ser>
        <c:dLbls>
          <c:showLegendKey val="0"/>
          <c:showVal val="0"/>
          <c:showCatName val="0"/>
          <c:showSerName val="0"/>
          <c:showPercent val="0"/>
          <c:showBubbleSize val="0"/>
        </c:dLbls>
        <c:axId val="390599048"/>
        <c:axId val="390592776"/>
      </c:scatterChart>
      <c:valAx>
        <c:axId val="390599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2776"/>
        <c:crosses val="autoZero"/>
        <c:crossBetween val="midCat"/>
      </c:valAx>
      <c:valAx>
        <c:axId val="390592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Mass (g)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9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Salt Rejection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NaCl Solution'!$G$2:$G$3</c:f>
              <c:strCache>
                <c:ptCount val="2"/>
                <c:pt idx="0">
                  <c:v>Salt Rejection</c:v>
                </c:pt>
                <c:pt idx="1">
                  <c:v>%</c:v>
                </c:pt>
              </c:strCache>
            </c:strRef>
          </c:tx>
          <c:spPr>
            <a:ln w="19050" cap="rnd">
              <a:solidFill>
                <a:srgbClr val="C00000"/>
              </a:solidFill>
              <a:round/>
            </a:ln>
            <a:effectLst/>
          </c:spPr>
          <c:marker>
            <c:symbol val="circle"/>
            <c:size val="5"/>
            <c:spPr>
              <a:solidFill>
                <a:schemeClr val="accent1"/>
              </a:solidFill>
              <a:ln w="9525">
                <a:solidFill>
                  <a:schemeClr val="accent1"/>
                </a:solidFill>
              </a:ln>
              <a:effectLst/>
            </c:spPr>
          </c:marker>
          <c:xVal>
            <c:numRef>
              <c:f>'Sample 1 - NaCl Solution'!$A$4:$A$500</c:f>
              <c:numCache>
                <c:formatCode>General</c:formatCode>
                <c:ptCount val="4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numCache>
            </c:numRef>
          </c:xVal>
          <c:yVal>
            <c:numRef>
              <c:f>'Sample 1 - NaCl Solution'!$G$4:$G$500</c:f>
              <c:numCache>
                <c:formatCode>General</c:formatCode>
                <c:ptCount val="497"/>
                <c:pt idx="58">
                  <c:v>0.86546176470626657</c:v>
                </c:pt>
                <c:pt idx="119">
                  <c:v>0.86697941176509019</c:v>
                </c:pt>
                <c:pt idx="340">
                  <c:v>0.88221176470626872</c:v>
                </c:pt>
              </c:numCache>
            </c:numRef>
          </c:yVal>
          <c:smooth val="1"/>
          <c:extLst>
            <c:ext xmlns:c16="http://schemas.microsoft.com/office/drawing/2014/chart" uri="{C3380CC4-5D6E-409C-BE32-E72D297353CC}">
              <c16:uniqueId val="{00000000-CD22-5D4F-AE01-F06582DF4C2A}"/>
            </c:ext>
          </c:extLst>
        </c:ser>
        <c:dLbls>
          <c:showLegendKey val="0"/>
          <c:showVal val="0"/>
          <c:showCatName val="0"/>
          <c:showSerName val="0"/>
          <c:showPercent val="0"/>
          <c:showBubbleSize val="0"/>
        </c:dLbls>
        <c:axId val="390597480"/>
        <c:axId val="390601008"/>
      </c:scatterChart>
      <c:valAx>
        <c:axId val="3905974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601008"/>
        <c:crosses val="autoZero"/>
        <c:crossBetween val="midCat"/>
      </c:valAx>
      <c:valAx>
        <c:axId val="390601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Salt</a:t>
                </a:r>
                <a:r>
                  <a:rPr lang="en-US" baseline="0"/>
                  <a:t> Rejection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7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Flux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NaCl Solution'!$D$2:$D$3</c:f>
              <c:strCache>
                <c:ptCount val="2"/>
                <c:pt idx="0">
                  <c:v>Flux</c:v>
                </c:pt>
                <c:pt idx="1">
                  <c:v>L/h.m2.bar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'Sample 1 - NaCl Solution'!$A$4:$A$3500</c:f>
              <c:numCache>
                <c:formatCode>General</c:formatCode>
                <c:ptCount val="34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numCache>
            </c:numRef>
          </c:xVal>
          <c:yVal>
            <c:numRef>
              <c:f>'Sample 1 - NaCl Solution'!$D$4:$D$3500</c:f>
              <c:numCache>
                <c:formatCode>General</c:formatCode>
                <c:ptCount val="3497"/>
                <c:pt idx="0">
                  <c:v>2.0547945205475367E-2</c:v>
                </c:pt>
                <c:pt idx="1">
                  <c:v>0.22602739726027282</c:v>
                </c:pt>
                <c:pt idx="2">
                  <c:v>0.71917808219178381</c:v>
                </c:pt>
                <c:pt idx="3">
                  <c:v>0.78082191780822463</c:v>
                </c:pt>
                <c:pt idx="4">
                  <c:v>0.67808219178081852</c:v>
                </c:pt>
                <c:pt idx="5">
                  <c:v>0.71917808219178381</c:v>
                </c:pt>
                <c:pt idx="6">
                  <c:v>0.78082191780820998</c:v>
                </c:pt>
                <c:pt idx="7">
                  <c:v>0.69863013698630849</c:v>
                </c:pt>
                <c:pt idx="8">
                  <c:v>0.57534246575342718</c:v>
                </c:pt>
                <c:pt idx="9">
                  <c:v>0.69863013698629395</c:v>
                </c:pt>
                <c:pt idx="10">
                  <c:v>0.71917808219178381</c:v>
                </c:pt>
                <c:pt idx="11">
                  <c:v>0.57534246575342718</c:v>
                </c:pt>
                <c:pt idx="12">
                  <c:v>0.67808219178081852</c:v>
                </c:pt>
                <c:pt idx="13">
                  <c:v>0.69863013698630849</c:v>
                </c:pt>
                <c:pt idx="14">
                  <c:v>0.59589041095890249</c:v>
                </c:pt>
                <c:pt idx="15">
                  <c:v>0.69863013698629395</c:v>
                </c:pt>
                <c:pt idx="16">
                  <c:v>0.57534246575342718</c:v>
                </c:pt>
                <c:pt idx="17">
                  <c:v>0.69863013698630849</c:v>
                </c:pt>
                <c:pt idx="18">
                  <c:v>0.69863013698629395</c:v>
                </c:pt>
                <c:pt idx="19">
                  <c:v>0.57534246575342718</c:v>
                </c:pt>
                <c:pt idx="20">
                  <c:v>0.69863013698630849</c:v>
                </c:pt>
                <c:pt idx="21">
                  <c:v>0.59589041095890249</c:v>
                </c:pt>
                <c:pt idx="22">
                  <c:v>0.67808219178081852</c:v>
                </c:pt>
                <c:pt idx="23">
                  <c:v>0.59589041095890249</c:v>
                </c:pt>
                <c:pt idx="24">
                  <c:v>0.59589041095890249</c:v>
                </c:pt>
                <c:pt idx="25">
                  <c:v>0.67808219178081852</c:v>
                </c:pt>
                <c:pt idx="26">
                  <c:v>0.61643835616439246</c:v>
                </c:pt>
                <c:pt idx="27">
                  <c:v>0.67808219178081852</c:v>
                </c:pt>
                <c:pt idx="28">
                  <c:v>0.69863013698630849</c:v>
                </c:pt>
                <c:pt idx="29">
                  <c:v>0.59589041095890249</c:v>
                </c:pt>
                <c:pt idx="30">
                  <c:v>0.69863013698629395</c:v>
                </c:pt>
                <c:pt idx="31">
                  <c:v>0.59589041095890249</c:v>
                </c:pt>
                <c:pt idx="32">
                  <c:v>0.6575342465753431</c:v>
                </c:pt>
                <c:pt idx="33">
                  <c:v>0.69863013698630849</c:v>
                </c:pt>
                <c:pt idx="34">
                  <c:v>0.69863013698629395</c:v>
                </c:pt>
                <c:pt idx="35">
                  <c:v>0.57534246575342718</c:v>
                </c:pt>
                <c:pt idx="36">
                  <c:v>0.69863013698630849</c:v>
                </c:pt>
                <c:pt idx="37">
                  <c:v>0.71917808219178381</c:v>
                </c:pt>
                <c:pt idx="38">
                  <c:v>0.55479452054793721</c:v>
                </c:pt>
                <c:pt idx="39">
                  <c:v>0.55479452054795175</c:v>
                </c:pt>
                <c:pt idx="40">
                  <c:v>0.57534246575342718</c:v>
                </c:pt>
                <c:pt idx="41">
                  <c:v>0.71917808219176926</c:v>
                </c:pt>
                <c:pt idx="42">
                  <c:v>0.6575342465753431</c:v>
                </c:pt>
                <c:pt idx="43">
                  <c:v>0.61643835616439246</c:v>
                </c:pt>
                <c:pt idx="44">
                  <c:v>0.69863013698629395</c:v>
                </c:pt>
                <c:pt idx="45">
                  <c:v>0.67808219178081852</c:v>
                </c:pt>
                <c:pt idx="46">
                  <c:v>0.67808219178083318</c:v>
                </c:pt>
                <c:pt idx="47">
                  <c:v>0.69863013698629395</c:v>
                </c:pt>
                <c:pt idx="48">
                  <c:v>0.59589041095890249</c:v>
                </c:pt>
                <c:pt idx="49">
                  <c:v>0.34931506849315425</c:v>
                </c:pt>
                <c:pt idx="50">
                  <c:v>0.1232876712328814</c:v>
                </c:pt>
                <c:pt idx="51">
                  <c:v>0.65753424657532855</c:v>
                </c:pt>
                <c:pt idx="52">
                  <c:v>0.59589041095891704</c:v>
                </c:pt>
                <c:pt idx="53">
                  <c:v>0.67808219178081852</c:v>
                </c:pt>
                <c:pt idx="54">
                  <c:v>0.69863013698630849</c:v>
                </c:pt>
                <c:pt idx="55">
                  <c:v>0.69863013698630849</c:v>
                </c:pt>
                <c:pt idx="56">
                  <c:v>0.67808219178081852</c:v>
                </c:pt>
                <c:pt idx="57">
                  <c:v>0.67808219178081852</c:v>
                </c:pt>
                <c:pt idx="58">
                  <c:v>0.71917808219176926</c:v>
                </c:pt>
                <c:pt idx="59">
                  <c:v>0.55479452054795175</c:v>
                </c:pt>
                <c:pt idx="60">
                  <c:v>0.51369863013698636</c:v>
                </c:pt>
                <c:pt idx="61">
                  <c:v>0.69863013698629395</c:v>
                </c:pt>
                <c:pt idx="62">
                  <c:v>0.69863013698630849</c:v>
                </c:pt>
                <c:pt idx="63">
                  <c:v>0.69863013698630849</c:v>
                </c:pt>
                <c:pt idx="64">
                  <c:v>0.67808219178081852</c:v>
                </c:pt>
                <c:pt idx="65">
                  <c:v>0.69863013698629395</c:v>
                </c:pt>
                <c:pt idx="66">
                  <c:v>0.69863013698630849</c:v>
                </c:pt>
                <c:pt idx="67">
                  <c:v>0.49315068493151104</c:v>
                </c:pt>
                <c:pt idx="68">
                  <c:v>0.69863013698629395</c:v>
                </c:pt>
                <c:pt idx="69">
                  <c:v>0.57534246575342718</c:v>
                </c:pt>
                <c:pt idx="70">
                  <c:v>0.43150684931507027</c:v>
                </c:pt>
                <c:pt idx="71">
                  <c:v>0.6575342465753431</c:v>
                </c:pt>
                <c:pt idx="72">
                  <c:v>0.6575342465753431</c:v>
                </c:pt>
                <c:pt idx="73">
                  <c:v>0.41095890410958036</c:v>
                </c:pt>
                <c:pt idx="74">
                  <c:v>0.69863013698630849</c:v>
                </c:pt>
                <c:pt idx="75">
                  <c:v>0.61643835616437781</c:v>
                </c:pt>
                <c:pt idx="76">
                  <c:v>0.71917808219178381</c:v>
                </c:pt>
                <c:pt idx="77">
                  <c:v>0.69863013698630849</c:v>
                </c:pt>
                <c:pt idx="78">
                  <c:v>0.71917808219176926</c:v>
                </c:pt>
                <c:pt idx="79">
                  <c:v>0.45205479452054564</c:v>
                </c:pt>
                <c:pt idx="80">
                  <c:v>0.67808219178083318</c:v>
                </c:pt>
                <c:pt idx="81">
                  <c:v>0.73972602739725923</c:v>
                </c:pt>
                <c:pt idx="82">
                  <c:v>0.63698630136985313</c:v>
                </c:pt>
                <c:pt idx="83">
                  <c:v>0.69863013698630849</c:v>
                </c:pt>
                <c:pt idx="84">
                  <c:v>0.67808219178081852</c:v>
                </c:pt>
                <c:pt idx="85">
                  <c:v>0.6575342465753431</c:v>
                </c:pt>
                <c:pt idx="86">
                  <c:v>0.47260273972603561</c:v>
                </c:pt>
                <c:pt idx="87">
                  <c:v>0.45205479452054564</c:v>
                </c:pt>
                <c:pt idx="88">
                  <c:v>0.59589041095890249</c:v>
                </c:pt>
                <c:pt idx="89">
                  <c:v>0.47260273972602107</c:v>
                </c:pt>
                <c:pt idx="90">
                  <c:v>0.69863013698630849</c:v>
                </c:pt>
                <c:pt idx="91">
                  <c:v>0.67808219178081852</c:v>
                </c:pt>
                <c:pt idx="92">
                  <c:v>0.69863013698630849</c:v>
                </c:pt>
                <c:pt idx="93">
                  <c:v>0.69863013698629395</c:v>
                </c:pt>
                <c:pt idx="94">
                  <c:v>0.53424657534246178</c:v>
                </c:pt>
                <c:pt idx="95">
                  <c:v>0.69863013698630849</c:v>
                </c:pt>
                <c:pt idx="96">
                  <c:v>0.80136986301370006</c:v>
                </c:pt>
                <c:pt idx="97">
                  <c:v>0.67808219178081852</c:v>
                </c:pt>
                <c:pt idx="98">
                  <c:v>0.47260273972603561</c:v>
                </c:pt>
                <c:pt idx="99">
                  <c:v>0.76027397260273466</c:v>
                </c:pt>
                <c:pt idx="100">
                  <c:v>0.51369863013698636</c:v>
                </c:pt>
                <c:pt idx="101">
                  <c:v>0.73972602739725923</c:v>
                </c:pt>
                <c:pt idx="102">
                  <c:v>0.59589041095890249</c:v>
                </c:pt>
                <c:pt idx="103">
                  <c:v>0.6575342465753431</c:v>
                </c:pt>
                <c:pt idx="104">
                  <c:v>0.73972602739725923</c:v>
                </c:pt>
                <c:pt idx="105">
                  <c:v>0.7602739726027492</c:v>
                </c:pt>
                <c:pt idx="106">
                  <c:v>0.43150684931505567</c:v>
                </c:pt>
                <c:pt idx="107">
                  <c:v>0.61643835616439246</c:v>
                </c:pt>
                <c:pt idx="108">
                  <c:v>0.43150684931507027</c:v>
                </c:pt>
                <c:pt idx="109">
                  <c:v>0.63698630136985313</c:v>
                </c:pt>
                <c:pt idx="110">
                  <c:v>0.53424657534246178</c:v>
                </c:pt>
                <c:pt idx="111">
                  <c:v>0.69863013698630849</c:v>
                </c:pt>
                <c:pt idx="112">
                  <c:v>0.61643835616437781</c:v>
                </c:pt>
                <c:pt idx="113">
                  <c:v>0.73972602739725923</c:v>
                </c:pt>
                <c:pt idx="114">
                  <c:v>0.59589041095891704</c:v>
                </c:pt>
                <c:pt idx="115">
                  <c:v>0.67808219178081852</c:v>
                </c:pt>
                <c:pt idx="116">
                  <c:v>0.69863013698630849</c:v>
                </c:pt>
                <c:pt idx="117">
                  <c:v>0.63698630136986778</c:v>
                </c:pt>
                <c:pt idx="118">
                  <c:v>0.71917808219176926</c:v>
                </c:pt>
                <c:pt idx="119">
                  <c:v>0.67808219178081852</c:v>
                </c:pt>
                <c:pt idx="120">
                  <c:v>0.20547945205479748</c:v>
                </c:pt>
                <c:pt idx="121">
                  <c:v>0.63698630136985313</c:v>
                </c:pt>
                <c:pt idx="122">
                  <c:v>0.59589041095891704</c:v>
                </c:pt>
                <c:pt idx="123">
                  <c:v>0.69863013698629395</c:v>
                </c:pt>
                <c:pt idx="124">
                  <c:v>0.69863013698630849</c:v>
                </c:pt>
                <c:pt idx="125">
                  <c:v>0.51369863013698636</c:v>
                </c:pt>
                <c:pt idx="126">
                  <c:v>0.71917808219176926</c:v>
                </c:pt>
                <c:pt idx="127">
                  <c:v>0.59589041095891704</c:v>
                </c:pt>
                <c:pt idx="128">
                  <c:v>0.73972602739725923</c:v>
                </c:pt>
                <c:pt idx="129">
                  <c:v>0.67808219178081852</c:v>
                </c:pt>
                <c:pt idx="130">
                  <c:v>0.6575342465753431</c:v>
                </c:pt>
                <c:pt idx="131">
                  <c:v>0.61643835616437781</c:v>
                </c:pt>
                <c:pt idx="132">
                  <c:v>0.59589041095890249</c:v>
                </c:pt>
                <c:pt idx="133">
                  <c:v>0.73972602739725923</c:v>
                </c:pt>
                <c:pt idx="134">
                  <c:v>0.55479452054795175</c:v>
                </c:pt>
                <c:pt idx="135">
                  <c:v>0.78082191780822463</c:v>
                </c:pt>
                <c:pt idx="136">
                  <c:v>0.36986301369862962</c:v>
                </c:pt>
                <c:pt idx="137">
                  <c:v>0.49315068493149639</c:v>
                </c:pt>
                <c:pt idx="138">
                  <c:v>0.61643835616439246</c:v>
                </c:pt>
                <c:pt idx="139">
                  <c:v>0.6575342465753431</c:v>
                </c:pt>
                <c:pt idx="140">
                  <c:v>0.55479452054793721</c:v>
                </c:pt>
                <c:pt idx="141">
                  <c:v>0.78082191780822463</c:v>
                </c:pt>
                <c:pt idx="142">
                  <c:v>0.71917808219178381</c:v>
                </c:pt>
                <c:pt idx="143">
                  <c:v>0.59589041095890249</c:v>
                </c:pt>
                <c:pt idx="144">
                  <c:v>0.78082191780822463</c:v>
                </c:pt>
                <c:pt idx="145">
                  <c:v>0.71917808219176926</c:v>
                </c:pt>
                <c:pt idx="146">
                  <c:v>0.39041095890411959</c:v>
                </c:pt>
                <c:pt idx="147">
                  <c:v>0.76027397260273466</c:v>
                </c:pt>
                <c:pt idx="148">
                  <c:v>0.71917808219178381</c:v>
                </c:pt>
                <c:pt idx="149">
                  <c:v>0.43150684931507027</c:v>
                </c:pt>
                <c:pt idx="150">
                  <c:v>0.53424657534246178</c:v>
                </c:pt>
                <c:pt idx="151">
                  <c:v>0.57534246575342718</c:v>
                </c:pt>
                <c:pt idx="152">
                  <c:v>0.55479452054793721</c:v>
                </c:pt>
                <c:pt idx="153">
                  <c:v>0.7602739726027492</c:v>
                </c:pt>
                <c:pt idx="154">
                  <c:v>0.61643835616437781</c:v>
                </c:pt>
                <c:pt idx="155">
                  <c:v>0.71917808219178381</c:v>
                </c:pt>
                <c:pt idx="156">
                  <c:v>0.78082191780822463</c:v>
                </c:pt>
                <c:pt idx="157">
                  <c:v>0.43150684931505567</c:v>
                </c:pt>
                <c:pt idx="158">
                  <c:v>0.78082191780822463</c:v>
                </c:pt>
                <c:pt idx="159">
                  <c:v>0.78082191780822463</c:v>
                </c:pt>
                <c:pt idx="160">
                  <c:v>0.39041095890410499</c:v>
                </c:pt>
                <c:pt idx="161">
                  <c:v>0.47260273972602107</c:v>
                </c:pt>
                <c:pt idx="162">
                  <c:v>0.51369863013698636</c:v>
                </c:pt>
                <c:pt idx="163">
                  <c:v>0.69863013698630849</c:v>
                </c:pt>
                <c:pt idx="164">
                  <c:v>0.80136986301370006</c:v>
                </c:pt>
                <c:pt idx="165">
                  <c:v>0.49315068493151104</c:v>
                </c:pt>
                <c:pt idx="166">
                  <c:v>0.76027397260273466</c:v>
                </c:pt>
                <c:pt idx="167">
                  <c:v>0.69863013698630849</c:v>
                </c:pt>
                <c:pt idx="168">
                  <c:v>0.76027397260273466</c:v>
                </c:pt>
                <c:pt idx="169">
                  <c:v>0.59589041095890249</c:v>
                </c:pt>
                <c:pt idx="170">
                  <c:v>0.59589041095891704</c:v>
                </c:pt>
                <c:pt idx="171">
                  <c:v>0.4109589041095657</c:v>
                </c:pt>
                <c:pt idx="172">
                  <c:v>0.67808219178081852</c:v>
                </c:pt>
                <c:pt idx="173">
                  <c:v>0.49315068493152558</c:v>
                </c:pt>
                <c:pt idx="174">
                  <c:v>0.57534246575342718</c:v>
                </c:pt>
                <c:pt idx="175">
                  <c:v>0.69863013698630849</c:v>
                </c:pt>
                <c:pt idx="176">
                  <c:v>0.69863013698627918</c:v>
                </c:pt>
                <c:pt idx="177">
                  <c:v>0.69863013698630849</c:v>
                </c:pt>
                <c:pt idx="178">
                  <c:v>0.80136986301370006</c:v>
                </c:pt>
                <c:pt idx="179">
                  <c:v>0.47260273972603561</c:v>
                </c:pt>
                <c:pt idx="180">
                  <c:v>0.34931506849315425</c:v>
                </c:pt>
                <c:pt idx="181">
                  <c:v>0.67808219178081852</c:v>
                </c:pt>
                <c:pt idx="182">
                  <c:v>0.61643835616437781</c:v>
                </c:pt>
                <c:pt idx="183">
                  <c:v>0.78082191780820998</c:v>
                </c:pt>
                <c:pt idx="184">
                  <c:v>0.65753424657535775</c:v>
                </c:pt>
                <c:pt idx="185">
                  <c:v>0.53424657534244724</c:v>
                </c:pt>
                <c:pt idx="186">
                  <c:v>0.7602739726027492</c:v>
                </c:pt>
                <c:pt idx="187">
                  <c:v>0.63698630136986778</c:v>
                </c:pt>
                <c:pt idx="188">
                  <c:v>0.61643835616437781</c:v>
                </c:pt>
                <c:pt idx="189">
                  <c:v>0.61643835616437781</c:v>
                </c:pt>
                <c:pt idx="190">
                  <c:v>0.67808219178081852</c:v>
                </c:pt>
                <c:pt idx="191">
                  <c:v>0.34931506849315425</c:v>
                </c:pt>
                <c:pt idx="192">
                  <c:v>0.34931506849315425</c:v>
                </c:pt>
                <c:pt idx="193">
                  <c:v>0.61643835616437781</c:v>
                </c:pt>
                <c:pt idx="194">
                  <c:v>0.80136986301370006</c:v>
                </c:pt>
                <c:pt idx="195">
                  <c:v>0.59589041095891704</c:v>
                </c:pt>
                <c:pt idx="196">
                  <c:v>0.63698630136986778</c:v>
                </c:pt>
                <c:pt idx="197">
                  <c:v>0.63698630136986778</c:v>
                </c:pt>
                <c:pt idx="198">
                  <c:v>0.80136986301370006</c:v>
                </c:pt>
                <c:pt idx="199">
                  <c:v>0.59589041095888784</c:v>
                </c:pt>
                <c:pt idx="200">
                  <c:v>0.69863013698630849</c:v>
                </c:pt>
                <c:pt idx="201">
                  <c:v>0.69863013698630849</c:v>
                </c:pt>
                <c:pt idx="202">
                  <c:v>0.43150684931505567</c:v>
                </c:pt>
                <c:pt idx="203">
                  <c:v>0.73972602739725923</c:v>
                </c:pt>
                <c:pt idx="204">
                  <c:v>0.71917808219176926</c:v>
                </c:pt>
                <c:pt idx="205">
                  <c:v>0.32876712328769347</c:v>
                </c:pt>
                <c:pt idx="206">
                  <c:v>0.55479452054793721</c:v>
                </c:pt>
                <c:pt idx="207">
                  <c:v>0.7602739726027492</c:v>
                </c:pt>
                <c:pt idx="208">
                  <c:v>0.69863013698627918</c:v>
                </c:pt>
                <c:pt idx="209">
                  <c:v>0.55479452054796641</c:v>
                </c:pt>
                <c:pt idx="210">
                  <c:v>0.78082191780820998</c:v>
                </c:pt>
                <c:pt idx="211">
                  <c:v>0.49315068493149639</c:v>
                </c:pt>
                <c:pt idx="212">
                  <c:v>0.67808219178084772</c:v>
                </c:pt>
                <c:pt idx="213">
                  <c:v>0.47260273972600642</c:v>
                </c:pt>
                <c:pt idx="214">
                  <c:v>0.61643835616437781</c:v>
                </c:pt>
                <c:pt idx="215">
                  <c:v>0.80136986301370006</c:v>
                </c:pt>
                <c:pt idx="216">
                  <c:v>0.51369863013698636</c:v>
                </c:pt>
                <c:pt idx="217">
                  <c:v>0.78082191780823917</c:v>
                </c:pt>
                <c:pt idx="218">
                  <c:v>0.67808219178081852</c:v>
                </c:pt>
                <c:pt idx="219">
                  <c:v>0.51369863013698636</c:v>
                </c:pt>
                <c:pt idx="220">
                  <c:v>0.36986301369861502</c:v>
                </c:pt>
                <c:pt idx="221">
                  <c:v>0.59589041095891704</c:v>
                </c:pt>
                <c:pt idx="222">
                  <c:v>0.80136986301370006</c:v>
                </c:pt>
                <c:pt idx="223">
                  <c:v>0.69863013698630849</c:v>
                </c:pt>
                <c:pt idx="224">
                  <c:v>0.69863013698627918</c:v>
                </c:pt>
                <c:pt idx="225">
                  <c:v>0.65753424657535775</c:v>
                </c:pt>
                <c:pt idx="226">
                  <c:v>0.63698630136986778</c:v>
                </c:pt>
                <c:pt idx="227">
                  <c:v>0.67808219178081852</c:v>
                </c:pt>
                <c:pt idx="228">
                  <c:v>0.39041095890410499</c:v>
                </c:pt>
                <c:pt idx="229">
                  <c:v>0.57534246575342718</c:v>
                </c:pt>
                <c:pt idx="230">
                  <c:v>0.80136986301370006</c:v>
                </c:pt>
                <c:pt idx="231">
                  <c:v>0.69863013698630849</c:v>
                </c:pt>
                <c:pt idx="232">
                  <c:v>0.80136986301370006</c:v>
                </c:pt>
                <c:pt idx="233">
                  <c:v>0.30821917808217431</c:v>
                </c:pt>
                <c:pt idx="234">
                  <c:v>0.78082191780823917</c:v>
                </c:pt>
                <c:pt idx="235">
                  <c:v>0.55479452054793721</c:v>
                </c:pt>
                <c:pt idx="236">
                  <c:v>0.59589041095888784</c:v>
                </c:pt>
                <c:pt idx="237">
                  <c:v>0.73972602739725923</c:v>
                </c:pt>
                <c:pt idx="238">
                  <c:v>0.49315068493152558</c:v>
                </c:pt>
                <c:pt idx="239">
                  <c:v>0.45205479452054564</c:v>
                </c:pt>
                <c:pt idx="240">
                  <c:v>0.55479452054793721</c:v>
                </c:pt>
                <c:pt idx="241">
                  <c:v>0.84246575342465069</c:v>
                </c:pt>
                <c:pt idx="242">
                  <c:v>0.73972602739725923</c:v>
                </c:pt>
                <c:pt idx="243">
                  <c:v>0.80136986301370006</c:v>
                </c:pt>
                <c:pt idx="244">
                  <c:v>0.59589041095891704</c:v>
                </c:pt>
                <c:pt idx="245">
                  <c:v>0.69863013698630849</c:v>
                </c:pt>
                <c:pt idx="246">
                  <c:v>0.26712328767122362</c:v>
                </c:pt>
                <c:pt idx="247">
                  <c:v>0.59589041095891704</c:v>
                </c:pt>
                <c:pt idx="248">
                  <c:v>0.76027397260272001</c:v>
                </c:pt>
                <c:pt idx="249">
                  <c:v>0.61643835616437781</c:v>
                </c:pt>
                <c:pt idx="250">
                  <c:v>0.59589041095891704</c:v>
                </c:pt>
                <c:pt idx="251">
                  <c:v>0.7602739726027492</c:v>
                </c:pt>
                <c:pt idx="252">
                  <c:v>0.61643835616437781</c:v>
                </c:pt>
                <c:pt idx="253">
                  <c:v>0.67808219178081852</c:v>
                </c:pt>
                <c:pt idx="254">
                  <c:v>0.39041095890410499</c:v>
                </c:pt>
                <c:pt idx="255">
                  <c:v>0.88356164383563063</c:v>
                </c:pt>
                <c:pt idx="256">
                  <c:v>0.67808219178081852</c:v>
                </c:pt>
                <c:pt idx="257">
                  <c:v>0.59589041095888784</c:v>
                </c:pt>
                <c:pt idx="258">
                  <c:v>0.59589041095891704</c:v>
                </c:pt>
                <c:pt idx="259">
                  <c:v>0.69863013698630849</c:v>
                </c:pt>
                <c:pt idx="260">
                  <c:v>0.63698630136986778</c:v>
                </c:pt>
                <c:pt idx="261">
                  <c:v>0.59589041095888784</c:v>
                </c:pt>
                <c:pt idx="262">
                  <c:v>0.61643835616437781</c:v>
                </c:pt>
                <c:pt idx="263">
                  <c:v>0.67808219178081852</c:v>
                </c:pt>
                <c:pt idx="264">
                  <c:v>0.59589041095891704</c:v>
                </c:pt>
                <c:pt idx="265">
                  <c:v>0.63698630136986778</c:v>
                </c:pt>
                <c:pt idx="266">
                  <c:v>0.51369863013698636</c:v>
                </c:pt>
                <c:pt idx="267">
                  <c:v>0.71917808219176926</c:v>
                </c:pt>
                <c:pt idx="268">
                  <c:v>0.59589041095891704</c:v>
                </c:pt>
                <c:pt idx="269">
                  <c:v>0.76027397260272001</c:v>
                </c:pt>
                <c:pt idx="270">
                  <c:v>0.43150684931508493</c:v>
                </c:pt>
                <c:pt idx="271">
                  <c:v>0.34931506849315425</c:v>
                </c:pt>
                <c:pt idx="272">
                  <c:v>0.63698630136986778</c:v>
                </c:pt>
                <c:pt idx="273">
                  <c:v>0.80136986301370006</c:v>
                </c:pt>
                <c:pt idx="274">
                  <c:v>0.65753424657532855</c:v>
                </c:pt>
                <c:pt idx="275">
                  <c:v>0.32876712328766428</c:v>
                </c:pt>
                <c:pt idx="276">
                  <c:v>0.78082191780823917</c:v>
                </c:pt>
                <c:pt idx="277">
                  <c:v>0.73972602739725923</c:v>
                </c:pt>
                <c:pt idx="278">
                  <c:v>0.51369863013698636</c:v>
                </c:pt>
                <c:pt idx="279">
                  <c:v>0.67808219178081852</c:v>
                </c:pt>
                <c:pt idx="280">
                  <c:v>0.69863013698630849</c:v>
                </c:pt>
                <c:pt idx="281">
                  <c:v>0.47260273972600642</c:v>
                </c:pt>
                <c:pt idx="282">
                  <c:v>0.3082191780822035</c:v>
                </c:pt>
                <c:pt idx="283">
                  <c:v>0.78082191780820998</c:v>
                </c:pt>
                <c:pt idx="284">
                  <c:v>0.67808219178081852</c:v>
                </c:pt>
                <c:pt idx="285">
                  <c:v>0.69863013698630849</c:v>
                </c:pt>
                <c:pt idx="286">
                  <c:v>0.67808219178081852</c:v>
                </c:pt>
                <c:pt idx="287">
                  <c:v>0.57534246575342718</c:v>
                </c:pt>
                <c:pt idx="288">
                  <c:v>0.55479452054793721</c:v>
                </c:pt>
                <c:pt idx="289">
                  <c:v>0.63698630136986778</c:v>
                </c:pt>
                <c:pt idx="290">
                  <c:v>0.65753424657535775</c:v>
                </c:pt>
                <c:pt idx="291">
                  <c:v>0.80136986301370006</c:v>
                </c:pt>
                <c:pt idx="292">
                  <c:v>0.57534246575342718</c:v>
                </c:pt>
                <c:pt idx="293">
                  <c:v>0.49315068493149639</c:v>
                </c:pt>
                <c:pt idx="294">
                  <c:v>0.53424657534247633</c:v>
                </c:pt>
                <c:pt idx="295">
                  <c:v>0.65753424657532855</c:v>
                </c:pt>
                <c:pt idx="296">
                  <c:v>0.63698630136986778</c:v>
                </c:pt>
                <c:pt idx="297">
                  <c:v>0.59589041095888784</c:v>
                </c:pt>
                <c:pt idx="298">
                  <c:v>0.82191780821918992</c:v>
                </c:pt>
                <c:pt idx="299">
                  <c:v>0.24657534246576279</c:v>
                </c:pt>
                <c:pt idx="300">
                  <c:v>0.80136986301370006</c:v>
                </c:pt>
                <c:pt idx="301">
                  <c:v>0.84246575342465069</c:v>
                </c:pt>
                <c:pt idx="302">
                  <c:v>0.45205479452054564</c:v>
                </c:pt>
                <c:pt idx="303">
                  <c:v>0.55479452054793721</c:v>
                </c:pt>
                <c:pt idx="304">
                  <c:v>0.82191780821918992</c:v>
                </c:pt>
                <c:pt idx="305">
                  <c:v>0.55479452054793721</c:v>
                </c:pt>
                <c:pt idx="306">
                  <c:v>0.24657534246576279</c:v>
                </c:pt>
                <c:pt idx="307">
                  <c:v>0.80136986301370006</c:v>
                </c:pt>
                <c:pt idx="308">
                  <c:v>0.82191780821916072</c:v>
                </c:pt>
                <c:pt idx="309">
                  <c:v>0.49315068493152558</c:v>
                </c:pt>
                <c:pt idx="310">
                  <c:v>0.47260273972600642</c:v>
                </c:pt>
                <c:pt idx="311">
                  <c:v>0.7602739726027492</c:v>
                </c:pt>
                <c:pt idx="312">
                  <c:v>0.67808219178081852</c:v>
                </c:pt>
                <c:pt idx="313">
                  <c:v>0.51369863013698636</c:v>
                </c:pt>
                <c:pt idx="314">
                  <c:v>0.71917808219179835</c:v>
                </c:pt>
                <c:pt idx="315">
                  <c:v>0.59589041095888784</c:v>
                </c:pt>
                <c:pt idx="316">
                  <c:v>0.32876712328766428</c:v>
                </c:pt>
                <c:pt idx="317">
                  <c:v>0.71917808219179835</c:v>
                </c:pt>
                <c:pt idx="318">
                  <c:v>0.71917808219176926</c:v>
                </c:pt>
                <c:pt idx="319">
                  <c:v>0.78082191780823917</c:v>
                </c:pt>
                <c:pt idx="320">
                  <c:v>0.39041095890410499</c:v>
                </c:pt>
                <c:pt idx="321">
                  <c:v>0.84246575342465069</c:v>
                </c:pt>
                <c:pt idx="322">
                  <c:v>0.59589041095891704</c:v>
                </c:pt>
                <c:pt idx="323">
                  <c:v>0.43150684931505567</c:v>
                </c:pt>
                <c:pt idx="324">
                  <c:v>0.7602739726027492</c:v>
                </c:pt>
                <c:pt idx="325">
                  <c:v>0.67808219178081852</c:v>
                </c:pt>
                <c:pt idx="326">
                  <c:v>0.43150684931505567</c:v>
                </c:pt>
                <c:pt idx="327">
                  <c:v>0.65753424657535775</c:v>
                </c:pt>
                <c:pt idx="328">
                  <c:v>0.67808219178081852</c:v>
                </c:pt>
                <c:pt idx="329">
                  <c:v>0.57534246575342718</c:v>
                </c:pt>
                <c:pt idx="330">
                  <c:v>0.65753424657532855</c:v>
                </c:pt>
                <c:pt idx="331">
                  <c:v>0.59589041095891704</c:v>
                </c:pt>
                <c:pt idx="332">
                  <c:v>0.55479452054793721</c:v>
                </c:pt>
                <c:pt idx="333">
                  <c:v>0.14383561643837137</c:v>
                </c:pt>
                <c:pt idx="334">
                  <c:v>0.88356164383560143</c:v>
                </c:pt>
                <c:pt idx="335">
                  <c:v>0.53424657534247633</c:v>
                </c:pt>
                <c:pt idx="336">
                  <c:v>0.32876712328766428</c:v>
                </c:pt>
                <c:pt idx="337">
                  <c:v>0.73972602739725923</c:v>
                </c:pt>
                <c:pt idx="338">
                  <c:v>0.59589041095891704</c:v>
                </c:pt>
                <c:pt idx="339">
                  <c:v>0.51369863013698636</c:v>
                </c:pt>
                <c:pt idx="340">
                  <c:v>0.61643835616437781</c:v>
                </c:pt>
                <c:pt idx="341">
                  <c:v>0.78082191780823917</c:v>
                </c:pt>
              </c:numCache>
            </c:numRef>
          </c:yVal>
          <c:smooth val="1"/>
          <c:extLst>
            <c:ext xmlns:c16="http://schemas.microsoft.com/office/drawing/2014/chart" uri="{C3380CC4-5D6E-409C-BE32-E72D297353CC}">
              <c16:uniqueId val="{00000000-5D71-6447-B8AC-FFD6491DBFF3}"/>
            </c:ext>
          </c:extLst>
        </c:ser>
        <c:dLbls>
          <c:showLegendKey val="0"/>
          <c:showVal val="0"/>
          <c:showCatName val="0"/>
          <c:showSerName val="0"/>
          <c:showPercent val="0"/>
          <c:showBubbleSize val="0"/>
        </c:dLbls>
        <c:axId val="390600224"/>
        <c:axId val="390591992"/>
      </c:scatterChart>
      <c:valAx>
        <c:axId val="3906002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1992"/>
        <c:crosses val="autoZero"/>
        <c:crossBetween val="midCat"/>
      </c:valAx>
      <c:valAx>
        <c:axId val="390591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Flux (L/h.m</a:t>
                </a:r>
                <a:r>
                  <a:rPr lang="en-US" baseline="30000"/>
                  <a:t>2</a:t>
                </a:r>
                <a:r>
                  <a:rPr lang="en-US" sz="1000" b="0" i="0" u="none" strike="noStrike" baseline="0">
                    <a:effectLst/>
                  </a:rPr>
                  <a:t>.bar</a:t>
                </a:r>
                <a:r>
                  <a:rPr lang="en-US" sz="1000" b="0" i="0" u="none" strike="noStrike" baseline="0"/>
                  <a:t> </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600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Salt Water Flux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'Sample 1 - NaCl Solution'!$D$2:$D$3</c:f>
              <c:strCache>
                <c:ptCount val="2"/>
                <c:pt idx="0">
                  <c:v>Flux</c:v>
                </c:pt>
                <c:pt idx="1">
                  <c:v>L/h.m2.bar</c:v>
                </c:pt>
              </c:strCache>
            </c:strRef>
          </c:tx>
          <c:spPr>
            <a:ln w="19050" cap="rnd">
              <a:noFill/>
              <a:round/>
            </a:ln>
            <a:effectLst/>
          </c:spPr>
          <c:marker>
            <c:symbol val="circle"/>
            <c:size val="5"/>
            <c:spPr>
              <a:noFill/>
              <a:ln w="9525">
                <a:noFill/>
              </a:ln>
              <a:effectLst/>
            </c:spPr>
          </c:marker>
          <c:trendline>
            <c:spPr>
              <a:ln w="38100" cap="rnd">
                <a:solidFill>
                  <a:schemeClr val="accent1"/>
                </a:solidFill>
                <a:prstDash val="solid"/>
              </a:ln>
              <a:effectLst/>
            </c:spPr>
            <c:trendlineType val="movingAvg"/>
            <c:period val="12"/>
            <c:dispRSqr val="0"/>
            <c:dispEq val="0"/>
          </c:trendline>
          <c:xVal>
            <c:numRef>
              <c:f>'Sample 1 - NaCl Solution'!$A$4:$A$3000</c:f>
              <c:numCache>
                <c:formatCode>General</c:formatCode>
                <c:ptCount val="29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numCache>
            </c:numRef>
          </c:xVal>
          <c:yVal>
            <c:numRef>
              <c:f>'Sample 1 - NaCl Solution'!$D$4:$D$3000</c:f>
              <c:numCache>
                <c:formatCode>General</c:formatCode>
                <c:ptCount val="2997"/>
                <c:pt idx="0">
                  <c:v>2.0547945205475367E-2</c:v>
                </c:pt>
                <c:pt idx="1">
                  <c:v>0.22602739726027282</c:v>
                </c:pt>
                <c:pt idx="2">
                  <c:v>0.71917808219178381</c:v>
                </c:pt>
                <c:pt idx="3">
                  <c:v>0.78082191780822463</c:v>
                </c:pt>
                <c:pt idx="4">
                  <c:v>0.67808219178081852</c:v>
                </c:pt>
                <c:pt idx="5">
                  <c:v>0.71917808219178381</c:v>
                </c:pt>
                <c:pt idx="6">
                  <c:v>0.78082191780820998</c:v>
                </c:pt>
                <c:pt idx="7">
                  <c:v>0.69863013698630849</c:v>
                </c:pt>
                <c:pt idx="8">
                  <c:v>0.57534246575342718</c:v>
                </c:pt>
                <c:pt idx="9">
                  <c:v>0.69863013698629395</c:v>
                </c:pt>
                <c:pt idx="10">
                  <c:v>0.71917808219178381</c:v>
                </c:pt>
                <c:pt idx="11">
                  <c:v>0.57534246575342718</c:v>
                </c:pt>
                <c:pt idx="12">
                  <c:v>0.67808219178081852</c:v>
                </c:pt>
                <c:pt idx="13">
                  <c:v>0.69863013698630849</c:v>
                </c:pt>
                <c:pt idx="14">
                  <c:v>0.59589041095890249</c:v>
                </c:pt>
                <c:pt idx="15">
                  <c:v>0.69863013698629395</c:v>
                </c:pt>
                <c:pt idx="16">
                  <c:v>0.57534246575342718</c:v>
                </c:pt>
                <c:pt idx="17">
                  <c:v>0.69863013698630849</c:v>
                </c:pt>
                <c:pt idx="18">
                  <c:v>0.69863013698629395</c:v>
                </c:pt>
                <c:pt idx="19">
                  <c:v>0.57534246575342718</c:v>
                </c:pt>
                <c:pt idx="20">
                  <c:v>0.69863013698630849</c:v>
                </c:pt>
                <c:pt idx="21">
                  <c:v>0.59589041095890249</c:v>
                </c:pt>
                <c:pt idx="22">
                  <c:v>0.67808219178081852</c:v>
                </c:pt>
                <c:pt idx="23">
                  <c:v>0.59589041095890249</c:v>
                </c:pt>
                <c:pt idx="24">
                  <c:v>0.59589041095890249</c:v>
                </c:pt>
                <c:pt idx="25">
                  <c:v>0.67808219178081852</c:v>
                </c:pt>
                <c:pt idx="26">
                  <c:v>0.61643835616439246</c:v>
                </c:pt>
                <c:pt idx="27">
                  <c:v>0.67808219178081852</c:v>
                </c:pt>
                <c:pt idx="28">
                  <c:v>0.69863013698630849</c:v>
                </c:pt>
                <c:pt idx="29">
                  <c:v>0.59589041095890249</c:v>
                </c:pt>
                <c:pt idx="30">
                  <c:v>0.69863013698629395</c:v>
                </c:pt>
                <c:pt idx="31">
                  <c:v>0.59589041095890249</c:v>
                </c:pt>
                <c:pt idx="32">
                  <c:v>0.6575342465753431</c:v>
                </c:pt>
                <c:pt idx="33">
                  <c:v>0.69863013698630849</c:v>
                </c:pt>
                <c:pt idx="34">
                  <c:v>0.69863013698629395</c:v>
                </c:pt>
                <c:pt idx="35">
                  <c:v>0.57534246575342718</c:v>
                </c:pt>
                <c:pt idx="36">
                  <c:v>0.69863013698630849</c:v>
                </c:pt>
                <c:pt idx="37">
                  <c:v>0.71917808219178381</c:v>
                </c:pt>
                <c:pt idx="38">
                  <c:v>0.55479452054793721</c:v>
                </c:pt>
                <c:pt idx="39">
                  <c:v>0.55479452054795175</c:v>
                </c:pt>
                <c:pt idx="40">
                  <c:v>0.57534246575342718</c:v>
                </c:pt>
                <c:pt idx="41">
                  <c:v>0.71917808219176926</c:v>
                </c:pt>
                <c:pt idx="42">
                  <c:v>0.6575342465753431</c:v>
                </c:pt>
                <c:pt idx="43">
                  <c:v>0.61643835616439246</c:v>
                </c:pt>
                <c:pt idx="44">
                  <c:v>0.69863013698629395</c:v>
                </c:pt>
                <c:pt idx="45">
                  <c:v>0.67808219178081852</c:v>
                </c:pt>
                <c:pt idx="46">
                  <c:v>0.67808219178083318</c:v>
                </c:pt>
                <c:pt idx="47">
                  <c:v>0.69863013698629395</c:v>
                </c:pt>
                <c:pt idx="48">
                  <c:v>0.59589041095890249</c:v>
                </c:pt>
                <c:pt idx="49">
                  <c:v>0.34931506849315425</c:v>
                </c:pt>
                <c:pt idx="50">
                  <c:v>0.1232876712328814</c:v>
                </c:pt>
                <c:pt idx="51">
                  <c:v>0.65753424657532855</c:v>
                </c:pt>
                <c:pt idx="52">
                  <c:v>0.59589041095891704</c:v>
                </c:pt>
                <c:pt idx="53">
                  <c:v>0.67808219178081852</c:v>
                </c:pt>
                <c:pt idx="54">
                  <c:v>0.69863013698630849</c:v>
                </c:pt>
                <c:pt idx="55">
                  <c:v>0.69863013698630849</c:v>
                </c:pt>
                <c:pt idx="56">
                  <c:v>0.67808219178081852</c:v>
                </c:pt>
                <c:pt idx="57">
                  <c:v>0.67808219178081852</c:v>
                </c:pt>
                <c:pt idx="58">
                  <c:v>0.71917808219176926</c:v>
                </c:pt>
                <c:pt idx="59">
                  <c:v>0.55479452054795175</c:v>
                </c:pt>
                <c:pt idx="60">
                  <c:v>0.51369863013698636</c:v>
                </c:pt>
                <c:pt idx="61">
                  <c:v>0.69863013698629395</c:v>
                </c:pt>
                <c:pt idx="62">
                  <c:v>0.69863013698630849</c:v>
                </c:pt>
                <c:pt idx="63">
                  <c:v>0.69863013698630849</c:v>
                </c:pt>
                <c:pt idx="64">
                  <c:v>0.67808219178081852</c:v>
                </c:pt>
                <c:pt idx="65">
                  <c:v>0.69863013698629395</c:v>
                </c:pt>
                <c:pt idx="66">
                  <c:v>0.69863013698630849</c:v>
                </c:pt>
                <c:pt idx="67">
                  <c:v>0.49315068493151104</c:v>
                </c:pt>
                <c:pt idx="68">
                  <c:v>0.69863013698629395</c:v>
                </c:pt>
                <c:pt idx="69">
                  <c:v>0.57534246575342718</c:v>
                </c:pt>
                <c:pt idx="70">
                  <c:v>0.43150684931507027</c:v>
                </c:pt>
                <c:pt idx="71">
                  <c:v>0.6575342465753431</c:v>
                </c:pt>
                <c:pt idx="72">
                  <c:v>0.6575342465753431</c:v>
                </c:pt>
                <c:pt idx="73">
                  <c:v>0.41095890410958036</c:v>
                </c:pt>
                <c:pt idx="74">
                  <c:v>0.69863013698630849</c:v>
                </c:pt>
                <c:pt idx="75">
                  <c:v>0.61643835616437781</c:v>
                </c:pt>
                <c:pt idx="76">
                  <c:v>0.71917808219178381</c:v>
                </c:pt>
                <c:pt idx="77">
                  <c:v>0.69863013698630849</c:v>
                </c:pt>
                <c:pt idx="78">
                  <c:v>0.71917808219176926</c:v>
                </c:pt>
                <c:pt idx="79">
                  <c:v>0.45205479452054564</c:v>
                </c:pt>
                <c:pt idx="80">
                  <c:v>0.67808219178083318</c:v>
                </c:pt>
                <c:pt idx="81">
                  <c:v>0.73972602739725923</c:v>
                </c:pt>
                <c:pt idx="82">
                  <c:v>0.63698630136985313</c:v>
                </c:pt>
                <c:pt idx="83">
                  <c:v>0.69863013698630849</c:v>
                </c:pt>
                <c:pt idx="84">
                  <c:v>0.67808219178081852</c:v>
                </c:pt>
                <c:pt idx="85">
                  <c:v>0.6575342465753431</c:v>
                </c:pt>
                <c:pt idx="86">
                  <c:v>0.47260273972603561</c:v>
                </c:pt>
                <c:pt idx="87">
                  <c:v>0.45205479452054564</c:v>
                </c:pt>
                <c:pt idx="88">
                  <c:v>0.59589041095890249</c:v>
                </c:pt>
                <c:pt idx="89">
                  <c:v>0.47260273972602107</c:v>
                </c:pt>
                <c:pt idx="90">
                  <c:v>0.69863013698630849</c:v>
                </c:pt>
                <c:pt idx="91">
                  <c:v>0.67808219178081852</c:v>
                </c:pt>
                <c:pt idx="92">
                  <c:v>0.69863013698630849</c:v>
                </c:pt>
                <c:pt idx="93">
                  <c:v>0.69863013698629395</c:v>
                </c:pt>
                <c:pt idx="94">
                  <c:v>0.53424657534246178</c:v>
                </c:pt>
                <c:pt idx="95">
                  <c:v>0.69863013698630849</c:v>
                </c:pt>
                <c:pt idx="96">
                  <c:v>0.80136986301370006</c:v>
                </c:pt>
                <c:pt idx="97">
                  <c:v>0.67808219178081852</c:v>
                </c:pt>
                <c:pt idx="98">
                  <c:v>0.47260273972603561</c:v>
                </c:pt>
                <c:pt idx="99">
                  <c:v>0.76027397260273466</c:v>
                </c:pt>
                <c:pt idx="100">
                  <c:v>0.51369863013698636</c:v>
                </c:pt>
                <c:pt idx="101">
                  <c:v>0.73972602739725923</c:v>
                </c:pt>
                <c:pt idx="102">
                  <c:v>0.59589041095890249</c:v>
                </c:pt>
                <c:pt idx="103">
                  <c:v>0.6575342465753431</c:v>
                </c:pt>
                <c:pt idx="104">
                  <c:v>0.73972602739725923</c:v>
                </c:pt>
                <c:pt idx="105">
                  <c:v>0.7602739726027492</c:v>
                </c:pt>
                <c:pt idx="106">
                  <c:v>0.43150684931505567</c:v>
                </c:pt>
                <c:pt idx="107">
                  <c:v>0.61643835616439246</c:v>
                </c:pt>
                <c:pt idx="108">
                  <c:v>0.43150684931507027</c:v>
                </c:pt>
                <c:pt idx="109">
                  <c:v>0.63698630136985313</c:v>
                </c:pt>
                <c:pt idx="110">
                  <c:v>0.53424657534246178</c:v>
                </c:pt>
                <c:pt idx="111">
                  <c:v>0.69863013698630849</c:v>
                </c:pt>
                <c:pt idx="112">
                  <c:v>0.61643835616437781</c:v>
                </c:pt>
                <c:pt idx="113">
                  <c:v>0.73972602739725923</c:v>
                </c:pt>
                <c:pt idx="114">
                  <c:v>0.59589041095891704</c:v>
                </c:pt>
                <c:pt idx="115">
                  <c:v>0.67808219178081852</c:v>
                </c:pt>
                <c:pt idx="116">
                  <c:v>0.69863013698630849</c:v>
                </c:pt>
                <c:pt idx="117">
                  <c:v>0.63698630136986778</c:v>
                </c:pt>
                <c:pt idx="118">
                  <c:v>0.71917808219176926</c:v>
                </c:pt>
                <c:pt idx="119">
                  <c:v>0.67808219178081852</c:v>
                </c:pt>
                <c:pt idx="120">
                  <c:v>0.20547945205479748</c:v>
                </c:pt>
                <c:pt idx="121">
                  <c:v>0.63698630136985313</c:v>
                </c:pt>
                <c:pt idx="122">
                  <c:v>0.59589041095891704</c:v>
                </c:pt>
                <c:pt idx="123">
                  <c:v>0.69863013698629395</c:v>
                </c:pt>
                <c:pt idx="124">
                  <c:v>0.69863013698630849</c:v>
                </c:pt>
                <c:pt idx="125">
                  <c:v>0.51369863013698636</c:v>
                </c:pt>
                <c:pt idx="126">
                  <c:v>0.71917808219176926</c:v>
                </c:pt>
                <c:pt idx="127">
                  <c:v>0.59589041095891704</c:v>
                </c:pt>
                <c:pt idx="128">
                  <c:v>0.73972602739725923</c:v>
                </c:pt>
                <c:pt idx="129">
                  <c:v>0.67808219178081852</c:v>
                </c:pt>
                <c:pt idx="130">
                  <c:v>0.6575342465753431</c:v>
                </c:pt>
                <c:pt idx="131">
                  <c:v>0.61643835616437781</c:v>
                </c:pt>
                <c:pt idx="132">
                  <c:v>0.59589041095890249</c:v>
                </c:pt>
                <c:pt idx="133">
                  <c:v>0.73972602739725923</c:v>
                </c:pt>
                <c:pt idx="134">
                  <c:v>0.55479452054795175</c:v>
                </c:pt>
                <c:pt idx="135">
                  <c:v>0.78082191780822463</c:v>
                </c:pt>
                <c:pt idx="136">
                  <c:v>0.36986301369862962</c:v>
                </c:pt>
                <c:pt idx="137">
                  <c:v>0.49315068493149639</c:v>
                </c:pt>
                <c:pt idx="138">
                  <c:v>0.61643835616439246</c:v>
                </c:pt>
                <c:pt idx="139">
                  <c:v>0.6575342465753431</c:v>
                </c:pt>
                <c:pt idx="140">
                  <c:v>0.55479452054793721</c:v>
                </c:pt>
                <c:pt idx="141">
                  <c:v>0.78082191780822463</c:v>
                </c:pt>
                <c:pt idx="142">
                  <c:v>0.71917808219178381</c:v>
                </c:pt>
                <c:pt idx="143">
                  <c:v>0.59589041095890249</c:v>
                </c:pt>
                <c:pt idx="144">
                  <c:v>0.78082191780822463</c:v>
                </c:pt>
                <c:pt idx="145">
                  <c:v>0.71917808219176926</c:v>
                </c:pt>
                <c:pt idx="146">
                  <c:v>0.39041095890411959</c:v>
                </c:pt>
                <c:pt idx="147">
                  <c:v>0.76027397260273466</c:v>
                </c:pt>
                <c:pt idx="148">
                  <c:v>0.71917808219178381</c:v>
                </c:pt>
                <c:pt idx="149">
                  <c:v>0.43150684931507027</c:v>
                </c:pt>
                <c:pt idx="150">
                  <c:v>0.53424657534246178</c:v>
                </c:pt>
                <c:pt idx="151">
                  <c:v>0.57534246575342718</c:v>
                </c:pt>
                <c:pt idx="152">
                  <c:v>0.55479452054793721</c:v>
                </c:pt>
                <c:pt idx="153">
                  <c:v>0.7602739726027492</c:v>
                </c:pt>
                <c:pt idx="154">
                  <c:v>0.61643835616437781</c:v>
                </c:pt>
                <c:pt idx="155">
                  <c:v>0.71917808219178381</c:v>
                </c:pt>
                <c:pt idx="156">
                  <c:v>0.78082191780822463</c:v>
                </c:pt>
                <c:pt idx="157">
                  <c:v>0.43150684931505567</c:v>
                </c:pt>
                <c:pt idx="158">
                  <c:v>0.78082191780822463</c:v>
                </c:pt>
                <c:pt idx="159">
                  <c:v>0.78082191780822463</c:v>
                </c:pt>
                <c:pt idx="160">
                  <c:v>0.39041095890410499</c:v>
                </c:pt>
                <c:pt idx="161">
                  <c:v>0.47260273972602107</c:v>
                </c:pt>
                <c:pt idx="162">
                  <c:v>0.51369863013698636</c:v>
                </c:pt>
                <c:pt idx="163">
                  <c:v>0.69863013698630849</c:v>
                </c:pt>
                <c:pt idx="164">
                  <c:v>0.80136986301370006</c:v>
                </c:pt>
                <c:pt idx="165">
                  <c:v>0.49315068493151104</c:v>
                </c:pt>
                <c:pt idx="166">
                  <c:v>0.76027397260273466</c:v>
                </c:pt>
                <c:pt idx="167">
                  <c:v>0.69863013698630849</c:v>
                </c:pt>
                <c:pt idx="168">
                  <c:v>0.76027397260273466</c:v>
                </c:pt>
                <c:pt idx="169">
                  <c:v>0.59589041095890249</c:v>
                </c:pt>
                <c:pt idx="170">
                  <c:v>0.59589041095891704</c:v>
                </c:pt>
                <c:pt idx="171">
                  <c:v>0.4109589041095657</c:v>
                </c:pt>
                <c:pt idx="172">
                  <c:v>0.67808219178081852</c:v>
                </c:pt>
                <c:pt idx="173">
                  <c:v>0.49315068493152558</c:v>
                </c:pt>
                <c:pt idx="174">
                  <c:v>0.57534246575342718</c:v>
                </c:pt>
                <c:pt idx="175">
                  <c:v>0.69863013698630849</c:v>
                </c:pt>
                <c:pt idx="176">
                  <c:v>0.69863013698627918</c:v>
                </c:pt>
                <c:pt idx="177">
                  <c:v>0.69863013698630849</c:v>
                </c:pt>
                <c:pt idx="178">
                  <c:v>0.80136986301370006</c:v>
                </c:pt>
                <c:pt idx="179">
                  <c:v>0.47260273972603561</c:v>
                </c:pt>
                <c:pt idx="180">
                  <c:v>0.34931506849315425</c:v>
                </c:pt>
                <c:pt idx="181">
                  <c:v>0.67808219178081852</c:v>
                </c:pt>
                <c:pt idx="182">
                  <c:v>0.61643835616437781</c:v>
                </c:pt>
                <c:pt idx="183">
                  <c:v>0.78082191780820998</c:v>
                </c:pt>
                <c:pt idx="184">
                  <c:v>0.65753424657535775</c:v>
                </c:pt>
                <c:pt idx="185">
                  <c:v>0.53424657534244724</c:v>
                </c:pt>
                <c:pt idx="186">
                  <c:v>0.7602739726027492</c:v>
                </c:pt>
                <c:pt idx="187">
                  <c:v>0.63698630136986778</c:v>
                </c:pt>
                <c:pt idx="188">
                  <c:v>0.61643835616437781</c:v>
                </c:pt>
                <c:pt idx="189">
                  <c:v>0.61643835616437781</c:v>
                </c:pt>
                <c:pt idx="190">
                  <c:v>0.67808219178081852</c:v>
                </c:pt>
                <c:pt idx="191">
                  <c:v>0.34931506849315425</c:v>
                </c:pt>
                <c:pt idx="192">
                  <c:v>0.34931506849315425</c:v>
                </c:pt>
                <c:pt idx="193">
                  <c:v>0.61643835616437781</c:v>
                </c:pt>
                <c:pt idx="194">
                  <c:v>0.80136986301370006</c:v>
                </c:pt>
                <c:pt idx="195">
                  <c:v>0.59589041095891704</c:v>
                </c:pt>
                <c:pt idx="196">
                  <c:v>0.63698630136986778</c:v>
                </c:pt>
                <c:pt idx="197">
                  <c:v>0.63698630136986778</c:v>
                </c:pt>
                <c:pt idx="198">
                  <c:v>0.80136986301370006</c:v>
                </c:pt>
                <c:pt idx="199">
                  <c:v>0.59589041095888784</c:v>
                </c:pt>
                <c:pt idx="200">
                  <c:v>0.69863013698630849</c:v>
                </c:pt>
                <c:pt idx="201">
                  <c:v>0.69863013698630849</c:v>
                </c:pt>
                <c:pt idx="202">
                  <c:v>0.43150684931505567</c:v>
                </c:pt>
                <c:pt idx="203">
                  <c:v>0.73972602739725923</c:v>
                </c:pt>
                <c:pt idx="204">
                  <c:v>0.71917808219176926</c:v>
                </c:pt>
                <c:pt idx="205">
                  <c:v>0.32876712328769347</c:v>
                </c:pt>
                <c:pt idx="206">
                  <c:v>0.55479452054793721</c:v>
                </c:pt>
                <c:pt idx="207">
                  <c:v>0.7602739726027492</c:v>
                </c:pt>
                <c:pt idx="208">
                  <c:v>0.69863013698627918</c:v>
                </c:pt>
                <c:pt idx="209">
                  <c:v>0.55479452054796641</c:v>
                </c:pt>
                <c:pt idx="210">
                  <c:v>0.78082191780820998</c:v>
                </c:pt>
                <c:pt idx="211">
                  <c:v>0.49315068493149639</c:v>
                </c:pt>
                <c:pt idx="212">
                  <c:v>0.67808219178084772</c:v>
                </c:pt>
                <c:pt idx="213">
                  <c:v>0.47260273972600642</c:v>
                </c:pt>
                <c:pt idx="214">
                  <c:v>0.61643835616437781</c:v>
                </c:pt>
                <c:pt idx="215">
                  <c:v>0.80136986301370006</c:v>
                </c:pt>
                <c:pt idx="216">
                  <c:v>0.51369863013698636</c:v>
                </c:pt>
                <c:pt idx="217">
                  <c:v>0.78082191780823917</c:v>
                </c:pt>
                <c:pt idx="218">
                  <c:v>0.67808219178081852</c:v>
                </c:pt>
                <c:pt idx="219">
                  <c:v>0.51369863013698636</c:v>
                </c:pt>
                <c:pt idx="220">
                  <c:v>0.36986301369861502</c:v>
                </c:pt>
                <c:pt idx="221">
                  <c:v>0.59589041095891704</c:v>
                </c:pt>
                <c:pt idx="222">
                  <c:v>0.80136986301370006</c:v>
                </c:pt>
                <c:pt idx="223">
                  <c:v>0.69863013698630849</c:v>
                </c:pt>
                <c:pt idx="224">
                  <c:v>0.69863013698627918</c:v>
                </c:pt>
                <c:pt idx="225">
                  <c:v>0.65753424657535775</c:v>
                </c:pt>
                <c:pt idx="226">
                  <c:v>0.63698630136986778</c:v>
                </c:pt>
                <c:pt idx="227">
                  <c:v>0.67808219178081852</c:v>
                </c:pt>
                <c:pt idx="228">
                  <c:v>0.39041095890410499</c:v>
                </c:pt>
                <c:pt idx="229">
                  <c:v>0.57534246575342718</c:v>
                </c:pt>
                <c:pt idx="230">
                  <c:v>0.80136986301370006</c:v>
                </c:pt>
                <c:pt idx="231">
                  <c:v>0.69863013698630849</c:v>
                </c:pt>
                <c:pt idx="232">
                  <c:v>0.80136986301370006</c:v>
                </c:pt>
                <c:pt idx="233">
                  <c:v>0.30821917808217431</c:v>
                </c:pt>
                <c:pt idx="234">
                  <c:v>0.78082191780823917</c:v>
                </c:pt>
                <c:pt idx="235">
                  <c:v>0.55479452054793721</c:v>
                </c:pt>
                <c:pt idx="236">
                  <c:v>0.59589041095888784</c:v>
                </c:pt>
                <c:pt idx="237">
                  <c:v>0.73972602739725923</c:v>
                </c:pt>
                <c:pt idx="238">
                  <c:v>0.49315068493152558</c:v>
                </c:pt>
                <c:pt idx="239">
                  <c:v>0.45205479452054564</c:v>
                </c:pt>
                <c:pt idx="240">
                  <c:v>0.55479452054793721</c:v>
                </c:pt>
                <c:pt idx="241">
                  <c:v>0.84246575342465069</c:v>
                </c:pt>
                <c:pt idx="242">
                  <c:v>0.73972602739725923</c:v>
                </c:pt>
                <c:pt idx="243">
                  <c:v>0.80136986301370006</c:v>
                </c:pt>
                <c:pt idx="244">
                  <c:v>0.59589041095891704</c:v>
                </c:pt>
                <c:pt idx="245">
                  <c:v>0.69863013698630849</c:v>
                </c:pt>
                <c:pt idx="246">
                  <c:v>0.26712328767122362</c:v>
                </c:pt>
                <c:pt idx="247">
                  <c:v>0.59589041095891704</c:v>
                </c:pt>
                <c:pt idx="248">
                  <c:v>0.76027397260272001</c:v>
                </c:pt>
                <c:pt idx="249">
                  <c:v>0.61643835616437781</c:v>
                </c:pt>
                <c:pt idx="250">
                  <c:v>0.59589041095891704</c:v>
                </c:pt>
                <c:pt idx="251">
                  <c:v>0.7602739726027492</c:v>
                </c:pt>
                <c:pt idx="252">
                  <c:v>0.61643835616437781</c:v>
                </c:pt>
                <c:pt idx="253">
                  <c:v>0.67808219178081852</c:v>
                </c:pt>
                <c:pt idx="254">
                  <c:v>0.39041095890410499</c:v>
                </c:pt>
                <c:pt idx="255">
                  <c:v>0.88356164383563063</c:v>
                </c:pt>
                <c:pt idx="256">
                  <c:v>0.67808219178081852</c:v>
                </c:pt>
                <c:pt idx="257">
                  <c:v>0.59589041095888784</c:v>
                </c:pt>
                <c:pt idx="258">
                  <c:v>0.59589041095891704</c:v>
                </c:pt>
                <c:pt idx="259">
                  <c:v>0.69863013698630849</c:v>
                </c:pt>
                <c:pt idx="260">
                  <c:v>0.63698630136986778</c:v>
                </c:pt>
                <c:pt idx="261">
                  <c:v>0.59589041095888784</c:v>
                </c:pt>
                <c:pt idx="262">
                  <c:v>0.61643835616437781</c:v>
                </c:pt>
                <c:pt idx="263">
                  <c:v>0.67808219178081852</c:v>
                </c:pt>
                <c:pt idx="264">
                  <c:v>0.59589041095891704</c:v>
                </c:pt>
                <c:pt idx="265">
                  <c:v>0.63698630136986778</c:v>
                </c:pt>
                <c:pt idx="266">
                  <c:v>0.51369863013698636</c:v>
                </c:pt>
                <c:pt idx="267">
                  <c:v>0.71917808219176926</c:v>
                </c:pt>
                <c:pt idx="268">
                  <c:v>0.59589041095891704</c:v>
                </c:pt>
                <c:pt idx="269">
                  <c:v>0.76027397260272001</c:v>
                </c:pt>
                <c:pt idx="270">
                  <c:v>0.43150684931508493</c:v>
                </c:pt>
                <c:pt idx="271">
                  <c:v>0.34931506849315425</c:v>
                </c:pt>
                <c:pt idx="272">
                  <c:v>0.63698630136986778</c:v>
                </c:pt>
                <c:pt idx="273">
                  <c:v>0.80136986301370006</c:v>
                </c:pt>
                <c:pt idx="274">
                  <c:v>0.65753424657532855</c:v>
                </c:pt>
                <c:pt idx="275">
                  <c:v>0.32876712328766428</c:v>
                </c:pt>
                <c:pt idx="276">
                  <c:v>0.78082191780823917</c:v>
                </c:pt>
                <c:pt idx="277">
                  <c:v>0.73972602739725923</c:v>
                </c:pt>
                <c:pt idx="278">
                  <c:v>0.51369863013698636</c:v>
                </c:pt>
                <c:pt idx="279">
                  <c:v>0.67808219178081852</c:v>
                </c:pt>
                <c:pt idx="280">
                  <c:v>0.69863013698630849</c:v>
                </c:pt>
                <c:pt idx="281">
                  <c:v>0.47260273972600642</c:v>
                </c:pt>
                <c:pt idx="282">
                  <c:v>0.3082191780822035</c:v>
                </c:pt>
                <c:pt idx="283">
                  <c:v>0.78082191780820998</c:v>
                </c:pt>
                <c:pt idx="284">
                  <c:v>0.67808219178081852</c:v>
                </c:pt>
                <c:pt idx="285">
                  <c:v>0.69863013698630849</c:v>
                </c:pt>
                <c:pt idx="286">
                  <c:v>0.67808219178081852</c:v>
                </c:pt>
                <c:pt idx="287">
                  <c:v>0.57534246575342718</c:v>
                </c:pt>
                <c:pt idx="288">
                  <c:v>0.55479452054793721</c:v>
                </c:pt>
                <c:pt idx="289">
                  <c:v>0.63698630136986778</c:v>
                </c:pt>
                <c:pt idx="290">
                  <c:v>0.65753424657535775</c:v>
                </c:pt>
                <c:pt idx="291">
                  <c:v>0.80136986301370006</c:v>
                </c:pt>
                <c:pt idx="292">
                  <c:v>0.57534246575342718</c:v>
                </c:pt>
                <c:pt idx="293">
                  <c:v>0.49315068493149639</c:v>
                </c:pt>
                <c:pt idx="294">
                  <c:v>0.53424657534247633</c:v>
                </c:pt>
                <c:pt idx="295">
                  <c:v>0.65753424657532855</c:v>
                </c:pt>
                <c:pt idx="296">
                  <c:v>0.63698630136986778</c:v>
                </c:pt>
                <c:pt idx="297">
                  <c:v>0.59589041095888784</c:v>
                </c:pt>
                <c:pt idx="298">
                  <c:v>0.82191780821918992</c:v>
                </c:pt>
                <c:pt idx="299">
                  <c:v>0.24657534246576279</c:v>
                </c:pt>
                <c:pt idx="300">
                  <c:v>0.80136986301370006</c:v>
                </c:pt>
                <c:pt idx="301">
                  <c:v>0.84246575342465069</c:v>
                </c:pt>
                <c:pt idx="302">
                  <c:v>0.45205479452054564</c:v>
                </c:pt>
                <c:pt idx="303">
                  <c:v>0.55479452054793721</c:v>
                </c:pt>
                <c:pt idx="304">
                  <c:v>0.82191780821918992</c:v>
                </c:pt>
                <c:pt idx="305">
                  <c:v>0.55479452054793721</c:v>
                </c:pt>
                <c:pt idx="306">
                  <c:v>0.24657534246576279</c:v>
                </c:pt>
                <c:pt idx="307">
                  <c:v>0.80136986301370006</c:v>
                </c:pt>
                <c:pt idx="308">
                  <c:v>0.82191780821916072</c:v>
                </c:pt>
                <c:pt idx="309">
                  <c:v>0.49315068493152558</c:v>
                </c:pt>
                <c:pt idx="310">
                  <c:v>0.47260273972600642</c:v>
                </c:pt>
                <c:pt idx="311">
                  <c:v>0.7602739726027492</c:v>
                </c:pt>
                <c:pt idx="312">
                  <c:v>0.67808219178081852</c:v>
                </c:pt>
                <c:pt idx="313">
                  <c:v>0.51369863013698636</c:v>
                </c:pt>
                <c:pt idx="314">
                  <c:v>0.71917808219179835</c:v>
                </c:pt>
                <c:pt idx="315">
                  <c:v>0.59589041095888784</c:v>
                </c:pt>
                <c:pt idx="316">
                  <c:v>0.32876712328766428</c:v>
                </c:pt>
                <c:pt idx="317">
                  <c:v>0.71917808219179835</c:v>
                </c:pt>
                <c:pt idx="318">
                  <c:v>0.71917808219176926</c:v>
                </c:pt>
                <c:pt idx="319">
                  <c:v>0.78082191780823917</c:v>
                </c:pt>
                <c:pt idx="320">
                  <c:v>0.39041095890410499</c:v>
                </c:pt>
                <c:pt idx="321">
                  <c:v>0.84246575342465069</c:v>
                </c:pt>
                <c:pt idx="322">
                  <c:v>0.59589041095891704</c:v>
                </c:pt>
                <c:pt idx="323">
                  <c:v>0.43150684931505567</c:v>
                </c:pt>
                <c:pt idx="324">
                  <c:v>0.7602739726027492</c:v>
                </c:pt>
                <c:pt idx="325">
                  <c:v>0.67808219178081852</c:v>
                </c:pt>
                <c:pt idx="326">
                  <c:v>0.43150684931505567</c:v>
                </c:pt>
                <c:pt idx="327">
                  <c:v>0.65753424657535775</c:v>
                </c:pt>
                <c:pt idx="328">
                  <c:v>0.67808219178081852</c:v>
                </c:pt>
                <c:pt idx="329">
                  <c:v>0.57534246575342718</c:v>
                </c:pt>
                <c:pt idx="330">
                  <c:v>0.65753424657532855</c:v>
                </c:pt>
                <c:pt idx="331">
                  <c:v>0.59589041095891704</c:v>
                </c:pt>
                <c:pt idx="332">
                  <c:v>0.55479452054793721</c:v>
                </c:pt>
                <c:pt idx="333">
                  <c:v>0.14383561643837137</c:v>
                </c:pt>
                <c:pt idx="334">
                  <c:v>0.88356164383560143</c:v>
                </c:pt>
                <c:pt idx="335">
                  <c:v>0.53424657534247633</c:v>
                </c:pt>
                <c:pt idx="336">
                  <c:v>0.32876712328766428</c:v>
                </c:pt>
                <c:pt idx="337">
                  <c:v>0.73972602739725923</c:v>
                </c:pt>
                <c:pt idx="338">
                  <c:v>0.59589041095891704</c:v>
                </c:pt>
                <c:pt idx="339">
                  <c:v>0.51369863013698636</c:v>
                </c:pt>
                <c:pt idx="340">
                  <c:v>0.61643835616437781</c:v>
                </c:pt>
                <c:pt idx="341">
                  <c:v>0.78082191780823917</c:v>
                </c:pt>
              </c:numCache>
            </c:numRef>
          </c:yVal>
          <c:smooth val="1"/>
          <c:extLst>
            <c:ext xmlns:c16="http://schemas.microsoft.com/office/drawing/2014/chart" uri="{C3380CC4-5D6E-409C-BE32-E72D297353CC}">
              <c16:uniqueId val="{00000002-7361-8F4C-9EA4-6A33719AEF40}"/>
            </c:ext>
          </c:extLst>
        </c:ser>
        <c:dLbls>
          <c:showLegendKey val="0"/>
          <c:showVal val="0"/>
          <c:showCatName val="0"/>
          <c:showSerName val="0"/>
          <c:showPercent val="0"/>
          <c:showBubbleSize val="0"/>
        </c:dLbls>
        <c:axId val="390596304"/>
        <c:axId val="390598264"/>
      </c:scatterChart>
      <c:valAx>
        <c:axId val="390596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8264"/>
        <c:crosses val="autoZero"/>
        <c:crossBetween val="midCat"/>
      </c:valAx>
      <c:valAx>
        <c:axId val="390598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Flux (L/h.m</a:t>
                </a:r>
                <a:r>
                  <a:rPr lang="en-US" baseline="30000"/>
                  <a:t>2</a:t>
                </a:r>
                <a:r>
                  <a:rPr lang="en-US" sz="1000" b="0" i="0" u="none" strike="noStrike" baseline="0">
                    <a:effectLst/>
                  </a:rPr>
                  <a:t>.bar</a:t>
                </a:r>
                <a:r>
                  <a:rPr lang="en-US" sz="1000" b="0" i="0" u="none" strike="noStrike" baseline="0"/>
                  <a:t> </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96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523875</xdr:colOff>
      <xdr:row>10</xdr:row>
      <xdr:rowOff>52387</xdr:rowOff>
    </xdr:from>
    <xdr:to>
      <xdr:col>13</xdr:col>
      <xdr:colOff>295275</xdr:colOff>
      <xdr:row>24</xdr:row>
      <xdr:rowOff>128587</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504825</xdr:colOff>
      <xdr:row>25</xdr:row>
      <xdr:rowOff>14287</xdr:rowOff>
    </xdr:from>
    <xdr:to>
      <xdr:col>13</xdr:col>
      <xdr:colOff>276225</xdr:colOff>
      <xdr:row>39</xdr:row>
      <xdr:rowOff>90487</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28575</xdr:colOff>
      <xdr:row>3</xdr:row>
      <xdr:rowOff>57150</xdr:rowOff>
    </xdr:from>
    <xdr:to>
      <xdr:col>8</xdr:col>
      <xdr:colOff>266700</xdr:colOff>
      <xdr:row>9</xdr:row>
      <xdr:rowOff>47625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086225" y="628650"/>
          <a:ext cx="1590675"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a:t>
          </a:r>
          <a:r>
            <a:rPr lang="en-US" sz="1100" baseline="0"/>
            <a:t> Input Mass and Conductivity and then click this button, which then calculates the total mass, concentration of NaCl, and Salt Rejection</a:t>
          </a:r>
          <a:endParaRPr lang="en-US" sz="1100"/>
        </a:p>
      </xdr:txBody>
    </xdr:sp>
    <xdr:clientData/>
  </xdr:twoCellAnchor>
  <mc:AlternateContent xmlns:mc="http://schemas.openxmlformats.org/markup-compatibility/2006">
    <mc:Choice xmlns:a14="http://schemas.microsoft.com/office/drawing/2010/main" Requires="a14">
      <xdr:twoCellAnchor>
        <xdr:from>
          <xdr:col>6</xdr:col>
          <xdr:colOff>482600</xdr:colOff>
          <xdr:row>1</xdr:row>
          <xdr:rowOff>12700</xdr:rowOff>
        </xdr:from>
        <xdr:to>
          <xdr:col>8</xdr:col>
          <xdr:colOff>88900</xdr:colOff>
          <xdr:row>2</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0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523875</xdr:colOff>
      <xdr:row>12</xdr:row>
      <xdr:rowOff>82028</xdr:rowOff>
    </xdr:from>
    <xdr:to>
      <xdr:col>14</xdr:col>
      <xdr:colOff>295275</xdr:colOff>
      <xdr:row>26</xdr:row>
      <xdr:rowOff>158227</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333375</xdr:colOff>
      <xdr:row>12</xdr:row>
      <xdr:rowOff>72503</xdr:rowOff>
    </xdr:from>
    <xdr:to>
      <xdr:col>21</xdr:col>
      <xdr:colOff>104775</xdr:colOff>
      <xdr:row>26</xdr:row>
      <xdr:rowOff>148702</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504825</xdr:colOff>
      <xdr:row>27</xdr:row>
      <xdr:rowOff>43928</xdr:rowOff>
    </xdr:from>
    <xdr:to>
      <xdr:col>14</xdr:col>
      <xdr:colOff>276225</xdr:colOff>
      <xdr:row>41</xdr:row>
      <xdr:rowOff>120127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495300</xdr:colOff>
          <xdr:row>1</xdr:row>
          <xdr:rowOff>12700</xdr:rowOff>
        </xdr:from>
        <xdr:to>
          <xdr:col>9</xdr:col>
          <xdr:colOff>63500</xdr:colOff>
          <xdr:row>2</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Calculate </a:t>
              </a:r>
            </a:p>
          </xdr:txBody>
        </xdr:sp>
        <xdr:clientData fPrintsWithSheet="0"/>
      </xdr:twoCellAnchor>
    </mc:Choice>
    <mc:Fallback/>
  </mc:AlternateContent>
  <xdr:twoCellAnchor>
    <xdr:from>
      <xdr:col>7</xdr:col>
      <xdr:colOff>9525</xdr:colOff>
      <xdr:row>3</xdr:row>
      <xdr:rowOff>57150</xdr:rowOff>
    </xdr:from>
    <xdr:to>
      <xdr:col>9</xdr:col>
      <xdr:colOff>247650</xdr:colOff>
      <xdr:row>9</xdr:row>
      <xdr:rowOff>47625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721225" y="628650"/>
          <a:ext cx="1584325"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a:t>
          </a:r>
          <a:r>
            <a:rPr lang="en-US" sz="1100" baseline="0"/>
            <a:t> Input Mass and Conductivity and then click this button, which then calculates the total mass, concentration of NaCl, and Salt Rejection</a:t>
          </a:r>
          <a:endParaRPr lang="en-US" sz="1100"/>
        </a:p>
      </xdr:txBody>
    </xdr:sp>
    <xdr:clientData/>
  </xdr:twoCellAnchor>
  <xdr:twoCellAnchor>
    <xdr:from>
      <xdr:col>14</xdr:col>
      <xdr:colOff>329260</xdr:colOff>
      <xdr:row>27</xdr:row>
      <xdr:rowOff>26819</xdr:rowOff>
    </xdr:from>
    <xdr:to>
      <xdr:col>21</xdr:col>
      <xdr:colOff>100661</xdr:colOff>
      <xdr:row>41</xdr:row>
      <xdr:rowOff>103018</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264"/>
  <sheetViews>
    <sheetView zoomScale="113" workbookViewId="0">
      <selection activeCell="O12" sqref="O12"/>
    </sheetView>
  </sheetViews>
  <sheetFormatPr baseColWidth="10" defaultColWidth="8.83203125" defaultRowHeight="15" x14ac:dyDescent="0.2"/>
  <cols>
    <col min="2" max="2" width="8.83203125" style="9"/>
  </cols>
  <sheetData>
    <row r="1" spans="1:14" x14ac:dyDescent="0.2">
      <c r="B1" s="9" t="s">
        <v>36</v>
      </c>
      <c r="G1" t="s">
        <v>25</v>
      </c>
    </row>
    <row r="2" spans="1:14" x14ac:dyDescent="0.2">
      <c r="A2" s="1" t="s">
        <v>3</v>
      </c>
      <c r="B2" s="10" t="s">
        <v>4</v>
      </c>
      <c r="C2" s="1" t="s">
        <v>5</v>
      </c>
      <c r="D2" s="1"/>
      <c r="E2" s="1"/>
      <c r="F2" s="1"/>
      <c r="N2" s="1" t="s">
        <v>26</v>
      </c>
    </row>
    <row r="3" spans="1:14" ht="15" customHeight="1" x14ac:dyDescent="0.2">
      <c r="A3" s="1" t="s">
        <v>1</v>
      </c>
      <c r="B3" s="10" t="s">
        <v>0</v>
      </c>
      <c r="C3" s="1" t="s">
        <v>30</v>
      </c>
      <c r="D3" s="1"/>
      <c r="E3" s="1"/>
      <c r="F3" s="1"/>
      <c r="J3" s="2"/>
      <c r="N3" s="6" t="s">
        <v>38</v>
      </c>
    </row>
    <row r="4" spans="1:14" x14ac:dyDescent="0.2">
      <c r="A4" s="3">
        <v>1</v>
      </c>
      <c r="B4" s="9">
        <v>0.13</v>
      </c>
      <c r="C4">
        <v>0.26712328767123295</v>
      </c>
      <c r="J4" s="2"/>
      <c r="K4" s="9" t="s">
        <v>39</v>
      </c>
      <c r="N4" t="s">
        <v>27</v>
      </c>
    </row>
    <row r="5" spans="1:14" ht="15" customHeight="1" x14ac:dyDescent="0.2">
      <c r="A5" s="3">
        <v>2</v>
      </c>
      <c r="B5" s="9">
        <v>0.5</v>
      </c>
      <c r="C5">
        <v>0.76027397260273977</v>
      </c>
      <c r="J5" s="2" t="s">
        <v>13</v>
      </c>
      <c r="K5" s="9">
        <v>1460</v>
      </c>
      <c r="L5" s="3" t="s">
        <v>14</v>
      </c>
      <c r="N5" t="s">
        <v>31</v>
      </c>
    </row>
    <row r="6" spans="1:14" ht="15" customHeight="1" x14ac:dyDescent="0.2">
      <c r="A6" s="3">
        <v>3</v>
      </c>
      <c r="B6" s="9">
        <v>0.88</v>
      </c>
      <c r="C6">
        <v>0.78082191780821941</v>
      </c>
      <c r="J6" s="2" t="s">
        <v>16</v>
      </c>
      <c r="K6" s="9">
        <v>20</v>
      </c>
      <c r="L6" s="3" t="s">
        <v>17</v>
      </c>
      <c r="N6" s="8" t="s">
        <v>33</v>
      </c>
    </row>
    <row r="7" spans="1:14" ht="15" customHeight="1" x14ac:dyDescent="0.2">
      <c r="A7" s="3">
        <v>4</v>
      </c>
      <c r="B7" s="9">
        <v>1.25</v>
      </c>
      <c r="C7">
        <v>0.76027397260273977</v>
      </c>
      <c r="N7" s="6"/>
    </row>
    <row r="8" spans="1:14" ht="15" customHeight="1" x14ac:dyDescent="0.2">
      <c r="A8" s="3">
        <v>5</v>
      </c>
      <c r="B8" s="9">
        <v>1.58</v>
      </c>
      <c r="C8">
        <v>0.67808219178082207</v>
      </c>
      <c r="J8" s="2" t="s">
        <v>15</v>
      </c>
      <c r="K8">
        <f>AVERAGE(C:C)</f>
        <v>0.4099051633298213</v>
      </c>
      <c r="L8" s="3" t="s">
        <v>29</v>
      </c>
      <c r="N8" s="8"/>
    </row>
    <row r="9" spans="1:14" x14ac:dyDescent="0.2">
      <c r="A9" s="3">
        <v>6</v>
      </c>
      <c r="B9" s="9">
        <v>1.95</v>
      </c>
      <c r="C9">
        <v>0.76027397260273966</v>
      </c>
      <c r="J9" s="2"/>
      <c r="N9" s="6"/>
    </row>
    <row r="10" spans="1:14" x14ac:dyDescent="0.2">
      <c r="A10" s="3">
        <v>7</v>
      </c>
      <c r="B10" s="9">
        <v>2.29</v>
      </c>
      <c r="C10">
        <v>0.69863013698630172</v>
      </c>
      <c r="N10" s="6"/>
    </row>
    <row r="11" spans="1:14" x14ac:dyDescent="0.2">
      <c r="A11" s="3">
        <v>8</v>
      </c>
      <c r="B11" s="9">
        <v>2.62</v>
      </c>
      <c r="C11">
        <v>0.67808219178082207</v>
      </c>
      <c r="N11" s="8"/>
    </row>
    <row r="12" spans="1:14" x14ac:dyDescent="0.2">
      <c r="A12" s="3">
        <v>9</v>
      </c>
      <c r="B12" s="9">
        <v>2.94</v>
      </c>
      <c r="C12">
        <v>0.65753424657534221</v>
      </c>
    </row>
    <row r="13" spans="1:14" x14ac:dyDescent="0.2">
      <c r="A13" s="3">
        <v>10</v>
      </c>
      <c r="B13" s="9">
        <v>3.23</v>
      </c>
      <c r="C13">
        <v>0.59589041095890427</v>
      </c>
    </row>
    <row r="14" spans="1:14" x14ac:dyDescent="0.2">
      <c r="A14" s="3">
        <v>11</v>
      </c>
      <c r="B14" s="9">
        <v>3.55</v>
      </c>
      <c r="C14">
        <v>0.65753424657534221</v>
      </c>
    </row>
    <row r="15" spans="1:14" x14ac:dyDescent="0.2">
      <c r="A15" s="3">
        <v>12</v>
      </c>
      <c r="B15" s="9">
        <v>3.88</v>
      </c>
      <c r="C15">
        <v>0.67808219178082207</v>
      </c>
      <c r="E15" s="4"/>
      <c r="F15" s="5"/>
    </row>
    <row r="16" spans="1:14" x14ac:dyDescent="0.2">
      <c r="A16" s="3">
        <v>13</v>
      </c>
      <c r="B16" s="9">
        <v>4.21</v>
      </c>
      <c r="C16">
        <v>0.67808219178082207</v>
      </c>
      <c r="F16" s="5"/>
    </row>
    <row r="17" spans="1:6" x14ac:dyDescent="0.2">
      <c r="A17" s="3">
        <v>14</v>
      </c>
      <c r="B17" s="9">
        <v>4.55</v>
      </c>
      <c r="C17">
        <v>0.69863013698630128</v>
      </c>
      <c r="F17" s="5"/>
    </row>
    <row r="18" spans="1:6" x14ac:dyDescent="0.2">
      <c r="A18" s="3">
        <v>15</v>
      </c>
      <c r="B18" s="9">
        <v>4.88</v>
      </c>
      <c r="C18">
        <v>0.67808219178082207</v>
      </c>
      <c r="F18" s="5"/>
    </row>
    <row r="19" spans="1:6" x14ac:dyDescent="0.2">
      <c r="A19" s="3">
        <v>16</v>
      </c>
      <c r="B19" s="9">
        <v>5.21</v>
      </c>
      <c r="C19">
        <v>0.67808219178082207</v>
      </c>
      <c r="F19" s="5"/>
    </row>
    <row r="20" spans="1:6" x14ac:dyDescent="0.2">
      <c r="A20" s="3">
        <v>17</v>
      </c>
      <c r="B20" s="9">
        <v>5.54</v>
      </c>
      <c r="C20">
        <v>0.67808219178082207</v>
      </c>
      <c r="F20" s="5"/>
    </row>
    <row r="21" spans="1:6" x14ac:dyDescent="0.2">
      <c r="A21" s="3">
        <v>18</v>
      </c>
      <c r="B21" s="9">
        <v>5.82</v>
      </c>
      <c r="C21">
        <v>0.57534246575342529</v>
      </c>
      <c r="F21" s="5"/>
    </row>
    <row r="22" spans="1:6" x14ac:dyDescent="0.2">
      <c r="A22" s="3">
        <v>19</v>
      </c>
      <c r="B22" s="9">
        <v>6.15</v>
      </c>
      <c r="C22">
        <v>0.67808219178082207</v>
      </c>
      <c r="F22" s="5"/>
    </row>
    <row r="23" spans="1:6" x14ac:dyDescent="0.2">
      <c r="A23" s="3">
        <v>20</v>
      </c>
      <c r="B23" s="9">
        <v>6.43</v>
      </c>
      <c r="C23">
        <v>0.57534246575342352</v>
      </c>
      <c r="F23" s="5"/>
    </row>
    <row r="24" spans="1:6" x14ac:dyDescent="0.2">
      <c r="A24" s="3">
        <v>21</v>
      </c>
      <c r="B24" s="9">
        <v>6.76</v>
      </c>
      <c r="C24">
        <v>0.67808219178082207</v>
      </c>
      <c r="F24" s="5"/>
    </row>
    <row r="25" spans="1:6" x14ac:dyDescent="0.2">
      <c r="A25" s="3">
        <v>22</v>
      </c>
      <c r="B25" s="9">
        <v>7.05</v>
      </c>
      <c r="C25">
        <v>0.59589041095890427</v>
      </c>
      <c r="F25" s="5"/>
    </row>
    <row r="26" spans="1:6" x14ac:dyDescent="0.2">
      <c r="A26" s="3">
        <v>23</v>
      </c>
      <c r="B26" s="9">
        <v>7.38</v>
      </c>
      <c r="C26">
        <v>0.67808219178082207</v>
      </c>
      <c r="F26" s="5"/>
    </row>
    <row r="27" spans="1:6" x14ac:dyDescent="0.2">
      <c r="A27" s="3">
        <v>24</v>
      </c>
      <c r="B27" s="9">
        <v>7.67</v>
      </c>
      <c r="C27">
        <v>0.59589041095890427</v>
      </c>
      <c r="F27" s="5"/>
    </row>
    <row r="28" spans="1:6" x14ac:dyDescent="0.2">
      <c r="A28" s="3">
        <v>25</v>
      </c>
      <c r="B28" s="9">
        <v>7.95</v>
      </c>
      <c r="C28">
        <v>0.57534246575342529</v>
      </c>
      <c r="F28" s="5"/>
    </row>
    <row r="29" spans="1:6" x14ac:dyDescent="0.2">
      <c r="A29" s="3">
        <v>26</v>
      </c>
      <c r="B29" s="9">
        <v>8.23</v>
      </c>
      <c r="C29">
        <v>0.57534246575342529</v>
      </c>
      <c r="F29" s="5"/>
    </row>
    <row r="30" spans="1:6" x14ac:dyDescent="0.2">
      <c r="A30" s="3">
        <v>27</v>
      </c>
      <c r="B30" s="9">
        <v>8.52</v>
      </c>
      <c r="C30">
        <v>0.59589041095890249</v>
      </c>
      <c r="F30" s="5"/>
    </row>
    <row r="31" spans="1:6" x14ac:dyDescent="0.2">
      <c r="A31" s="3">
        <v>28</v>
      </c>
      <c r="B31" s="9">
        <v>8.84</v>
      </c>
      <c r="C31">
        <v>0.6575342465753431</v>
      </c>
      <c r="F31" s="5"/>
    </row>
    <row r="32" spans="1:6" x14ac:dyDescent="0.2">
      <c r="A32" s="3">
        <v>29</v>
      </c>
      <c r="B32" s="9">
        <v>9.14</v>
      </c>
      <c r="C32">
        <v>0.61643835616438514</v>
      </c>
      <c r="F32" s="5"/>
    </row>
    <row r="33" spans="1:6" x14ac:dyDescent="0.2">
      <c r="A33" s="3">
        <v>30</v>
      </c>
      <c r="B33" s="9">
        <v>9.42</v>
      </c>
      <c r="C33">
        <v>0.57534246575342352</v>
      </c>
      <c r="F33" s="5"/>
    </row>
    <row r="34" spans="1:6" x14ac:dyDescent="0.2">
      <c r="A34" s="3">
        <v>31</v>
      </c>
      <c r="B34" s="9">
        <v>9.65</v>
      </c>
      <c r="C34">
        <v>0.47260273972602834</v>
      </c>
    </row>
    <row r="35" spans="1:6" x14ac:dyDescent="0.2">
      <c r="A35" s="3">
        <v>32</v>
      </c>
      <c r="B35" s="9">
        <v>9.93</v>
      </c>
      <c r="C35">
        <v>0.57534246575342352</v>
      </c>
    </row>
    <row r="36" spans="1:6" x14ac:dyDescent="0.2">
      <c r="A36" s="3">
        <v>33</v>
      </c>
      <c r="B36" s="9">
        <v>10.220000000000001</v>
      </c>
      <c r="C36">
        <v>0.59589041095890605</v>
      </c>
    </row>
    <row r="37" spans="1:6" x14ac:dyDescent="0.2">
      <c r="A37" s="3">
        <v>34</v>
      </c>
      <c r="B37" s="9">
        <v>10.5</v>
      </c>
      <c r="C37">
        <v>0.57534246575342352</v>
      </c>
    </row>
    <row r="38" spans="1:6" x14ac:dyDescent="0.2">
      <c r="A38" s="3">
        <v>35</v>
      </c>
      <c r="B38" s="9">
        <v>10.78</v>
      </c>
      <c r="C38">
        <v>0.57534246575342352</v>
      </c>
    </row>
    <row r="39" spans="1:6" x14ac:dyDescent="0.2">
      <c r="A39" s="3">
        <v>36</v>
      </c>
      <c r="B39" s="9">
        <v>11.02</v>
      </c>
      <c r="C39">
        <v>0.49315068493150738</v>
      </c>
    </row>
    <row r="40" spans="1:6" x14ac:dyDescent="0.2">
      <c r="A40" s="3">
        <v>37</v>
      </c>
      <c r="B40" s="9">
        <v>11.31</v>
      </c>
      <c r="C40">
        <v>0.59589041095890605</v>
      </c>
    </row>
    <row r="41" spans="1:6" x14ac:dyDescent="0.2">
      <c r="A41" s="3">
        <v>38</v>
      </c>
      <c r="B41" s="9">
        <v>11.58</v>
      </c>
      <c r="C41">
        <v>0.55479452054794443</v>
      </c>
    </row>
    <row r="42" spans="1:6" x14ac:dyDescent="0.2">
      <c r="A42" s="3">
        <v>39</v>
      </c>
      <c r="B42" s="9">
        <v>11.82</v>
      </c>
      <c r="C42">
        <v>0.49315068493150738</v>
      </c>
    </row>
    <row r="43" spans="1:6" x14ac:dyDescent="0.2">
      <c r="A43" s="3">
        <v>40</v>
      </c>
      <c r="B43" s="9">
        <v>12.1</v>
      </c>
      <c r="C43">
        <v>0.57534246575342352</v>
      </c>
    </row>
    <row r="44" spans="1:6" x14ac:dyDescent="0.2">
      <c r="A44" s="3">
        <v>41</v>
      </c>
      <c r="B44" s="9">
        <v>12.34</v>
      </c>
      <c r="C44">
        <v>0.49315068493150738</v>
      </c>
    </row>
    <row r="45" spans="1:6" x14ac:dyDescent="0.2">
      <c r="A45" s="3">
        <v>42</v>
      </c>
      <c r="B45" s="9">
        <v>12.62</v>
      </c>
      <c r="C45">
        <v>0.57534246575342352</v>
      </c>
    </row>
    <row r="46" spans="1:6" x14ac:dyDescent="0.2">
      <c r="A46" s="3">
        <v>43</v>
      </c>
      <c r="B46" s="9">
        <v>12.86</v>
      </c>
      <c r="C46">
        <v>0.49315068493150738</v>
      </c>
    </row>
    <row r="47" spans="1:6" x14ac:dyDescent="0.2">
      <c r="A47" s="3">
        <v>44</v>
      </c>
      <c r="B47" s="9">
        <v>13.1</v>
      </c>
      <c r="C47">
        <v>0.49315068493150738</v>
      </c>
    </row>
    <row r="48" spans="1:6" x14ac:dyDescent="0.2">
      <c r="A48" s="3">
        <v>45</v>
      </c>
      <c r="B48" s="9">
        <v>13.38</v>
      </c>
      <c r="C48">
        <v>0.57534246575342718</v>
      </c>
    </row>
    <row r="49" spans="1:3" x14ac:dyDescent="0.2">
      <c r="A49" s="3">
        <v>46</v>
      </c>
      <c r="B49" s="9">
        <v>13.62</v>
      </c>
      <c r="C49">
        <v>0.49315068493150366</v>
      </c>
    </row>
    <row r="50" spans="1:3" x14ac:dyDescent="0.2">
      <c r="A50" s="3">
        <v>47</v>
      </c>
      <c r="B50" s="9">
        <v>13.85</v>
      </c>
      <c r="C50">
        <v>0.47260273972602834</v>
      </c>
    </row>
    <row r="51" spans="1:3" x14ac:dyDescent="0.2">
      <c r="A51" s="3">
        <v>48</v>
      </c>
      <c r="B51" s="9">
        <v>14.09</v>
      </c>
      <c r="C51">
        <v>0.49315068493150738</v>
      </c>
    </row>
    <row r="52" spans="1:3" x14ac:dyDescent="0.2">
      <c r="A52" s="3">
        <v>49</v>
      </c>
      <c r="B52" s="9">
        <v>14.37</v>
      </c>
      <c r="C52">
        <v>0.57534246575342352</v>
      </c>
    </row>
    <row r="53" spans="1:3" x14ac:dyDescent="0.2">
      <c r="A53" s="3">
        <v>50</v>
      </c>
      <c r="B53" s="9">
        <v>14.61</v>
      </c>
      <c r="C53">
        <v>0.49315068493150738</v>
      </c>
    </row>
    <row r="54" spans="1:3" x14ac:dyDescent="0.2">
      <c r="A54" s="3">
        <v>51</v>
      </c>
      <c r="B54" s="9">
        <v>14.85</v>
      </c>
      <c r="C54">
        <v>0.49315068493150738</v>
      </c>
    </row>
    <row r="55" spans="1:3" x14ac:dyDescent="0.2">
      <c r="A55" s="3">
        <v>52</v>
      </c>
      <c r="B55" s="9">
        <v>15.08</v>
      </c>
      <c r="C55">
        <v>0.47260273972602834</v>
      </c>
    </row>
    <row r="56" spans="1:3" x14ac:dyDescent="0.2">
      <c r="A56" s="3">
        <v>53</v>
      </c>
      <c r="B56" s="9">
        <v>15.31</v>
      </c>
      <c r="C56">
        <v>0.47260273972602834</v>
      </c>
    </row>
    <row r="57" spans="1:3" x14ac:dyDescent="0.2">
      <c r="A57" s="3">
        <v>54</v>
      </c>
      <c r="B57" s="9">
        <v>15.55</v>
      </c>
      <c r="C57">
        <v>0.49315068493150738</v>
      </c>
    </row>
    <row r="58" spans="1:3" x14ac:dyDescent="0.2">
      <c r="A58" s="3">
        <v>55</v>
      </c>
      <c r="B58" s="9">
        <v>15.79</v>
      </c>
      <c r="C58">
        <v>0.49315068493150366</v>
      </c>
    </row>
    <row r="59" spans="1:3" x14ac:dyDescent="0.2">
      <c r="A59" s="3">
        <v>56</v>
      </c>
      <c r="B59" s="9">
        <v>16.02</v>
      </c>
      <c r="C59">
        <v>0.47260273972602834</v>
      </c>
    </row>
    <row r="60" spans="1:3" x14ac:dyDescent="0.2">
      <c r="A60" s="3">
        <v>57</v>
      </c>
      <c r="B60" s="9">
        <v>16.25</v>
      </c>
      <c r="C60">
        <v>0.47260273972602834</v>
      </c>
    </row>
    <row r="61" spans="1:3" x14ac:dyDescent="0.2">
      <c r="A61" s="3">
        <v>58</v>
      </c>
      <c r="B61" s="9">
        <v>16.489999999999998</v>
      </c>
      <c r="C61">
        <v>0.49315068493150366</v>
      </c>
    </row>
    <row r="62" spans="1:3" x14ac:dyDescent="0.2">
      <c r="A62" s="3">
        <v>59</v>
      </c>
      <c r="B62" s="9">
        <v>16.68</v>
      </c>
      <c r="C62">
        <v>0.39041095890411232</v>
      </c>
    </row>
    <row r="63" spans="1:3" x14ac:dyDescent="0.2">
      <c r="A63" s="3">
        <v>60</v>
      </c>
      <c r="B63" s="9">
        <v>16.91</v>
      </c>
      <c r="C63">
        <v>0.47260273972602834</v>
      </c>
    </row>
    <row r="64" spans="1:3" x14ac:dyDescent="0.2">
      <c r="A64" s="3">
        <v>61</v>
      </c>
      <c r="B64" s="9">
        <v>17.149999999999999</v>
      </c>
      <c r="C64">
        <v>0.49315068493150366</v>
      </c>
    </row>
    <row r="65" spans="1:3" x14ac:dyDescent="0.2">
      <c r="A65" s="3">
        <v>62</v>
      </c>
      <c r="B65" s="9">
        <v>17.38</v>
      </c>
      <c r="C65">
        <v>0.47260273972602834</v>
      </c>
    </row>
    <row r="66" spans="1:3" x14ac:dyDescent="0.2">
      <c r="A66" s="3">
        <v>63</v>
      </c>
      <c r="B66" s="9">
        <v>17.57</v>
      </c>
      <c r="C66">
        <v>0.39041095890411232</v>
      </c>
    </row>
    <row r="67" spans="1:3" x14ac:dyDescent="0.2">
      <c r="A67" s="3">
        <v>64</v>
      </c>
      <c r="B67" s="9">
        <v>17.8</v>
      </c>
      <c r="C67">
        <v>0.47260273972602834</v>
      </c>
    </row>
    <row r="68" spans="1:3" x14ac:dyDescent="0.2">
      <c r="A68" s="3">
        <v>65</v>
      </c>
      <c r="B68" s="9">
        <v>18.04</v>
      </c>
      <c r="C68">
        <v>0.49315068493150366</v>
      </c>
    </row>
    <row r="69" spans="1:3" x14ac:dyDescent="0.2">
      <c r="A69" s="3">
        <v>66</v>
      </c>
      <c r="B69" s="9">
        <v>18.22</v>
      </c>
      <c r="C69">
        <v>0.36986301369862962</v>
      </c>
    </row>
    <row r="70" spans="1:3" x14ac:dyDescent="0.2">
      <c r="A70" s="3">
        <v>67</v>
      </c>
      <c r="B70" s="9">
        <v>18.46</v>
      </c>
      <c r="C70">
        <v>0.49315068493151104</v>
      </c>
    </row>
    <row r="71" spans="1:3" x14ac:dyDescent="0.2">
      <c r="A71" s="3">
        <v>68</v>
      </c>
      <c r="B71" s="9">
        <v>18.690000000000001</v>
      </c>
      <c r="C71">
        <v>0.47260273972602834</v>
      </c>
    </row>
    <row r="72" spans="1:3" x14ac:dyDescent="0.2">
      <c r="A72" s="3">
        <v>69</v>
      </c>
      <c r="B72" s="9">
        <v>18.87</v>
      </c>
      <c r="C72">
        <v>0.36986301369862962</v>
      </c>
    </row>
    <row r="73" spans="1:3" x14ac:dyDescent="0.2">
      <c r="A73" s="3">
        <v>70</v>
      </c>
      <c r="B73" s="9">
        <v>19.100000000000001</v>
      </c>
      <c r="C73">
        <v>0.47260273972602834</v>
      </c>
    </row>
    <row r="74" spans="1:3" x14ac:dyDescent="0.2">
      <c r="A74" s="3">
        <v>71</v>
      </c>
      <c r="B74" s="9">
        <v>19.29</v>
      </c>
      <c r="C74">
        <v>0.39041095890410499</v>
      </c>
    </row>
    <row r="75" spans="1:3" x14ac:dyDescent="0.2">
      <c r="A75" s="3">
        <v>72</v>
      </c>
      <c r="B75" s="9">
        <v>19.52</v>
      </c>
      <c r="C75">
        <v>0.47260273972602834</v>
      </c>
    </row>
    <row r="76" spans="1:3" x14ac:dyDescent="0.2">
      <c r="A76" s="3">
        <v>73</v>
      </c>
      <c r="B76" s="9">
        <v>19.7</v>
      </c>
      <c r="C76">
        <v>0.36986301369862962</v>
      </c>
    </row>
    <row r="77" spans="1:3" x14ac:dyDescent="0.2">
      <c r="A77" s="3">
        <v>74</v>
      </c>
      <c r="B77" s="9">
        <v>19.93</v>
      </c>
      <c r="C77">
        <v>0.47260273972602834</v>
      </c>
    </row>
    <row r="78" spans="1:3" x14ac:dyDescent="0.2">
      <c r="A78" s="3">
        <v>75</v>
      </c>
      <c r="B78" s="9">
        <v>20.12</v>
      </c>
      <c r="C78">
        <v>0.39041095890411232</v>
      </c>
    </row>
    <row r="79" spans="1:3" x14ac:dyDescent="0.2">
      <c r="A79" s="3">
        <v>76</v>
      </c>
      <c r="B79" s="9">
        <v>20.3</v>
      </c>
      <c r="C79">
        <v>0.36986301369862962</v>
      </c>
    </row>
    <row r="80" spans="1:3" x14ac:dyDescent="0.2">
      <c r="A80" s="3">
        <v>77</v>
      </c>
      <c r="B80" s="9">
        <v>20.53</v>
      </c>
      <c r="C80">
        <v>0.47260273972602834</v>
      </c>
    </row>
    <row r="81" spans="1:3" x14ac:dyDescent="0.2">
      <c r="A81" s="3">
        <v>78</v>
      </c>
      <c r="B81" s="9">
        <v>20.72</v>
      </c>
      <c r="C81">
        <v>0.39041095890410499</v>
      </c>
    </row>
    <row r="82" spans="1:3" x14ac:dyDescent="0.2">
      <c r="A82" s="3">
        <v>79</v>
      </c>
      <c r="B82" s="9">
        <v>20.9</v>
      </c>
      <c r="C82">
        <v>0.36986301369862962</v>
      </c>
    </row>
    <row r="83" spans="1:3" x14ac:dyDescent="0.2">
      <c r="A83" s="3">
        <v>80</v>
      </c>
      <c r="B83" s="9">
        <v>21.13</v>
      </c>
      <c r="C83">
        <v>0.47260273972602834</v>
      </c>
    </row>
    <row r="84" spans="1:3" x14ac:dyDescent="0.2">
      <c r="A84" s="3">
        <v>81</v>
      </c>
      <c r="B84" s="9">
        <v>21.32</v>
      </c>
      <c r="C84">
        <v>0.39041095890411232</v>
      </c>
    </row>
    <row r="85" spans="1:3" x14ac:dyDescent="0.2">
      <c r="A85" s="3">
        <v>82</v>
      </c>
      <c r="B85" s="9">
        <v>21.51</v>
      </c>
      <c r="C85">
        <v>0.39041095890411232</v>
      </c>
    </row>
    <row r="86" spans="1:3" x14ac:dyDescent="0.2">
      <c r="A86" s="3">
        <v>83</v>
      </c>
      <c r="B86" s="9">
        <v>21.69</v>
      </c>
      <c r="C86">
        <v>0.36986301369862962</v>
      </c>
    </row>
    <row r="87" spans="1:3" x14ac:dyDescent="0.2">
      <c r="A87" s="3">
        <v>84</v>
      </c>
      <c r="B87" s="9">
        <v>21.87</v>
      </c>
      <c r="C87">
        <v>0.36986301369862962</v>
      </c>
    </row>
    <row r="88" spans="1:3" x14ac:dyDescent="0.2">
      <c r="A88" s="3">
        <v>85</v>
      </c>
      <c r="B88" s="9">
        <v>22.11</v>
      </c>
      <c r="C88">
        <v>0.49315068493150366</v>
      </c>
    </row>
    <row r="89" spans="1:3" x14ac:dyDescent="0.2">
      <c r="A89" s="3">
        <v>86</v>
      </c>
      <c r="B89" s="9">
        <v>22.3</v>
      </c>
      <c r="C89">
        <v>0.39041095890411232</v>
      </c>
    </row>
    <row r="90" spans="1:3" x14ac:dyDescent="0.2">
      <c r="A90" s="3">
        <v>87</v>
      </c>
      <c r="B90" s="9">
        <v>22.49</v>
      </c>
      <c r="C90">
        <v>0.39041095890410499</v>
      </c>
    </row>
    <row r="91" spans="1:3" x14ac:dyDescent="0.2">
      <c r="A91" s="3">
        <v>88</v>
      </c>
      <c r="B91" s="9">
        <v>22.68</v>
      </c>
      <c r="C91">
        <v>0.39041095890411232</v>
      </c>
    </row>
    <row r="92" spans="1:3" x14ac:dyDescent="0.2">
      <c r="A92" s="3">
        <v>89</v>
      </c>
      <c r="B92" s="9">
        <v>22.86</v>
      </c>
      <c r="C92">
        <v>0.36986301369862962</v>
      </c>
    </row>
    <row r="93" spans="1:3" x14ac:dyDescent="0.2">
      <c r="A93" s="3">
        <v>90</v>
      </c>
      <c r="B93" s="9">
        <v>23.05</v>
      </c>
      <c r="C93">
        <v>0.39041095890411232</v>
      </c>
    </row>
    <row r="94" spans="1:3" x14ac:dyDescent="0.2">
      <c r="A94" s="3">
        <v>91</v>
      </c>
      <c r="B94" s="9">
        <v>23.23</v>
      </c>
      <c r="C94">
        <v>0.36986301369862962</v>
      </c>
    </row>
    <row r="95" spans="1:3" x14ac:dyDescent="0.2">
      <c r="A95" s="3">
        <v>92</v>
      </c>
      <c r="B95" s="9">
        <v>23.42</v>
      </c>
      <c r="C95">
        <v>0.39041095890411232</v>
      </c>
    </row>
    <row r="96" spans="1:3" x14ac:dyDescent="0.2">
      <c r="A96" s="3">
        <v>93</v>
      </c>
      <c r="B96" s="9">
        <v>23.6</v>
      </c>
      <c r="C96">
        <v>0.36986301369862962</v>
      </c>
    </row>
    <row r="97" spans="1:3" x14ac:dyDescent="0.2">
      <c r="A97" s="3">
        <v>94</v>
      </c>
      <c r="B97" s="9">
        <v>23.8</v>
      </c>
      <c r="C97">
        <v>0.41095890410958769</v>
      </c>
    </row>
    <row r="98" spans="1:3" x14ac:dyDescent="0.2">
      <c r="A98" s="3">
        <v>95</v>
      </c>
      <c r="B98" s="9">
        <v>23.98</v>
      </c>
      <c r="C98">
        <v>0.36986301369862962</v>
      </c>
    </row>
    <row r="99" spans="1:3" x14ac:dyDescent="0.2">
      <c r="A99" s="3">
        <v>96</v>
      </c>
      <c r="B99" s="9">
        <v>24.16</v>
      </c>
      <c r="C99">
        <v>0.36986301369862962</v>
      </c>
    </row>
    <row r="100" spans="1:3" x14ac:dyDescent="0.2">
      <c r="A100" s="3">
        <v>97</v>
      </c>
      <c r="B100" s="9">
        <v>24.35</v>
      </c>
      <c r="C100">
        <v>0.39041095890411232</v>
      </c>
    </row>
    <row r="101" spans="1:3" x14ac:dyDescent="0.2">
      <c r="A101" s="3">
        <v>98</v>
      </c>
      <c r="B101" s="9">
        <v>24.54</v>
      </c>
      <c r="C101">
        <v>0.39041095890410499</v>
      </c>
    </row>
    <row r="102" spans="1:3" x14ac:dyDescent="0.2">
      <c r="A102" s="3">
        <v>99</v>
      </c>
      <c r="B102" s="9">
        <v>24.67</v>
      </c>
      <c r="C102">
        <v>0.26712328767123816</v>
      </c>
    </row>
    <row r="103" spans="1:3" x14ac:dyDescent="0.2">
      <c r="A103" s="3">
        <v>100</v>
      </c>
      <c r="B103" s="9">
        <v>24.86</v>
      </c>
      <c r="C103">
        <v>0.39041095890410499</v>
      </c>
    </row>
    <row r="104" spans="1:3" x14ac:dyDescent="0.2">
      <c r="A104" s="3">
        <v>101</v>
      </c>
      <c r="B104" s="9">
        <v>25.05</v>
      </c>
      <c r="C104">
        <v>0.39041095890411232</v>
      </c>
    </row>
    <row r="105" spans="1:3" x14ac:dyDescent="0.2">
      <c r="A105" s="3">
        <v>102</v>
      </c>
      <c r="B105" s="9">
        <v>25.24</v>
      </c>
      <c r="C105">
        <v>0.39041095890410499</v>
      </c>
    </row>
    <row r="106" spans="1:3" x14ac:dyDescent="0.2">
      <c r="A106" s="3">
        <v>103</v>
      </c>
      <c r="B106" s="9">
        <v>25.42</v>
      </c>
      <c r="C106">
        <v>0.36986301369863689</v>
      </c>
    </row>
    <row r="107" spans="1:3" x14ac:dyDescent="0.2">
      <c r="A107" s="3">
        <v>104</v>
      </c>
      <c r="B107" s="9">
        <v>25.56</v>
      </c>
      <c r="C107">
        <v>0.28767123287670626</v>
      </c>
    </row>
    <row r="108" spans="1:3" x14ac:dyDescent="0.2">
      <c r="A108" s="3">
        <v>105</v>
      </c>
      <c r="B108" s="9">
        <v>25.75</v>
      </c>
      <c r="C108">
        <v>0.39041095890411232</v>
      </c>
    </row>
    <row r="109" spans="1:3" x14ac:dyDescent="0.2">
      <c r="A109" s="3">
        <v>106</v>
      </c>
      <c r="B109" s="9">
        <v>25.94</v>
      </c>
      <c r="C109">
        <v>0.39041095890411232</v>
      </c>
    </row>
    <row r="110" spans="1:3" x14ac:dyDescent="0.2">
      <c r="A110" s="3">
        <v>107</v>
      </c>
      <c r="B110" s="9">
        <v>26.13</v>
      </c>
      <c r="C110">
        <v>0.39041095890410499</v>
      </c>
    </row>
    <row r="111" spans="1:3" x14ac:dyDescent="0.2">
      <c r="A111" s="3">
        <v>108</v>
      </c>
      <c r="B111" s="9">
        <v>26.27</v>
      </c>
      <c r="C111">
        <v>0.28767123287671359</v>
      </c>
    </row>
    <row r="112" spans="1:3" x14ac:dyDescent="0.2">
      <c r="A112" s="3">
        <v>109</v>
      </c>
      <c r="B112" s="9">
        <v>26.46</v>
      </c>
      <c r="C112">
        <v>0.39041095890411232</v>
      </c>
    </row>
    <row r="113" spans="1:3" x14ac:dyDescent="0.2">
      <c r="A113" s="3">
        <v>110</v>
      </c>
      <c r="B113" s="9">
        <v>26.64</v>
      </c>
      <c r="C113">
        <v>0.36986301369862962</v>
      </c>
    </row>
    <row r="114" spans="1:3" x14ac:dyDescent="0.2">
      <c r="A114" s="3">
        <v>111</v>
      </c>
      <c r="B114" s="9">
        <v>26.78</v>
      </c>
      <c r="C114">
        <v>0.28767123287671359</v>
      </c>
    </row>
    <row r="115" spans="1:3" x14ac:dyDescent="0.2">
      <c r="A115" s="3">
        <v>112</v>
      </c>
      <c r="B115" s="9">
        <v>26.97</v>
      </c>
      <c r="C115">
        <v>0.39041095890410499</v>
      </c>
    </row>
    <row r="116" spans="1:3" x14ac:dyDescent="0.2">
      <c r="A116" s="3">
        <v>113</v>
      </c>
      <c r="B116" s="9">
        <v>27.16</v>
      </c>
      <c r="C116">
        <v>0.39041095890411232</v>
      </c>
    </row>
    <row r="117" spans="1:3" x14ac:dyDescent="0.2">
      <c r="A117" s="3">
        <v>114</v>
      </c>
      <c r="B117" s="9">
        <v>27.29</v>
      </c>
      <c r="C117">
        <v>0.26712328767123089</v>
      </c>
    </row>
    <row r="118" spans="1:3" x14ac:dyDescent="0.2">
      <c r="A118" s="3">
        <v>115</v>
      </c>
      <c r="B118" s="9">
        <v>27.48</v>
      </c>
      <c r="C118">
        <v>0.39041095890411232</v>
      </c>
    </row>
    <row r="119" spans="1:3" x14ac:dyDescent="0.2">
      <c r="A119" s="3">
        <v>116</v>
      </c>
      <c r="B119" s="9">
        <v>27.67</v>
      </c>
      <c r="C119">
        <v>0.39041095890411232</v>
      </c>
    </row>
    <row r="120" spans="1:3" x14ac:dyDescent="0.2">
      <c r="A120" s="3">
        <v>117</v>
      </c>
      <c r="B120" s="9">
        <v>27.81</v>
      </c>
      <c r="C120">
        <v>0.28767123287670626</v>
      </c>
    </row>
    <row r="121" spans="1:3" x14ac:dyDescent="0.2">
      <c r="A121" s="3">
        <v>118</v>
      </c>
      <c r="B121" s="9">
        <v>28</v>
      </c>
      <c r="C121">
        <v>0.39041095890411232</v>
      </c>
    </row>
    <row r="122" spans="1:3" x14ac:dyDescent="0.2">
      <c r="A122" s="3">
        <v>119</v>
      </c>
      <c r="B122" s="9">
        <v>28.13</v>
      </c>
      <c r="C122">
        <v>0.26712328767123089</v>
      </c>
    </row>
    <row r="123" spans="1:3" x14ac:dyDescent="0.2">
      <c r="A123" s="3">
        <v>120</v>
      </c>
      <c r="B123" s="9">
        <v>28.32</v>
      </c>
      <c r="C123">
        <v>0.39041095890411232</v>
      </c>
    </row>
    <row r="124" spans="1:3" x14ac:dyDescent="0.2">
      <c r="A124" s="3">
        <v>121</v>
      </c>
      <c r="B124" s="9">
        <v>28.46</v>
      </c>
      <c r="C124">
        <v>0.28767123287671359</v>
      </c>
    </row>
    <row r="125" spans="1:3" x14ac:dyDescent="0.2">
      <c r="A125" s="3">
        <v>122</v>
      </c>
      <c r="B125" s="9">
        <v>28.65</v>
      </c>
      <c r="C125">
        <v>0.39041095890410499</v>
      </c>
    </row>
    <row r="126" spans="1:3" x14ac:dyDescent="0.2">
      <c r="A126" s="3">
        <v>123</v>
      </c>
      <c r="B126" s="9">
        <v>28.78</v>
      </c>
      <c r="C126">
        <v>0.26712328767123816</v>
      </c>
    </row>
    <row r="127" spans="1:3" x14ac:dyDescent="0.2">
      <c r="A127" s="3">
        <v>124</v>
      </c>
      <c r="B127" s="9">
        <v>28.97</v>
      </c>
      <c r="C127">
        <v>0.39041095890410499</v>
      </c>
    </row>
    <row r="128" spans="1:3" x14ac:dyDescent="0.2">
      <c r="A128" s="3">
        <v>125</v>
      </c>
      <c r="B128" s="9">
        <v>29.11</v>
      </c>
      <c r="C128">
        <v>0.28767123287671359</v>
      </c>
    </row>
    <row r="129" spans="1:3" x14ac:dyDescent="0.2">
      <c r="A129" s="3">
        <v>126</v>
      </c>
      <c r="B129" s="9">
        <v>29.29</v>
      </c>
      <c r="C129">
        <v>0.36986301369862962</v>
      </c>
    </row>
    <row r="130" spans="1:3" x14ac:dyDescent="0.2">
      <c r="A130" s="3">
        <v>127</v>
      </c>
      <c r="B130" s="9">
        <v>29.43</v>
      </c>
      <c r="C130">
        <v>0.28767123287671359</v>
      </c>
    </row>
    <row r="131" spans="1:3" x14ac:dyDescent="0.2">
      <c r="A131" s="3">
        <v>128</v>
      </c>
      <c r="B131" s="9">
        <v>29.61</v>
      </c>
      <c r="C131">
        <v>0.36986301369862962</v>
      </c>
    </row>
    <row r="132" spans="1:3" x14ac:dyDescent="0.2">
      <c r="A132" s="3">
        <v>129</v>
      </c>
      <c r="B132" s="9">
        <v>29.76</v>
      </c>
      <c r="C132">
        <v>0.30821917808219623</v>
      </c>
    </row>
    <row r="133" spans="1:3" x14ac:dyDescent="0.2">
      <c r="A133" s="3">
        <v>130</v>
      </c>
      <c r="B133" s="9">
        <v>29.9</v>
      </c>
      <c r="C133">
        <v>0.28767123287670626</v>
      </c>
    </row>
    <row r="134" spans="1:3" x14ac:dyDescent="0.2">
      <c r="A134" s="3">
        <v>131</v>
      </c>
      <c r="B134" s="9">
        <v>30.08</v>
      </c>
      <c r="C134">
        <v>0.36986301369862962</v>
      </c>
    </row>
    <row r="135" spans="1:3" x14ac:dyDescent="0.2">
      <c r="A135" s="3">
        <v>132</v>
      </c>
      <c r="B135" s="9">
        <v>30.22</v>
      </c>
      <c r="C135">
        <v>0.28767123287671359</v>
      </c>
    </row>
    <row r="136" spans="1:3" x14ac:dyDescent="0.2">
      <c r="A136" s="3">
        <v>133</v>
      </c>
      <c r="B136" s="9">
        <v>30.35</v>
      </c>
      <c r="C136">
        <v>0.26712328767123816</v>
      </c>
    </row>
    <row r="137" spans="1:3" x14ac:dyDescent="0.2">
      <c r="A137" s="3">
        <v>134</v>
      </c>
      <c r="B137" s="9">
        <v>30.54</v>
      </c>
      <c r="C137">
        <v>0.39041095890410499</v>
      </c>
    </row>
    <row r="138" spans="1:3" x14ac:dyDescent="0.2">
      <c r="A138" s="3">
        <v>135</v>
      </c>
      <c r="B138" s="9">
        <v>30.68</v>
      </c>
      <c r="C138">
        <v>0.28767123287671359</v>
      </c>
    </row>
    <row r="139" spans="1:3" x14ac:dyDescent="0.2">
      <c r="A139" s="3">
        <v>136</v>
      </c>
      <c r="B139" s="9">
        <v>30.82</v>
      </c>
      <c r="C139">
        <v>0.28767123287671359</v>
      </c>
    </row>
    <row r="140" spans="1:3" x14ac:dyDescent="0.2">
      <c r="A140" s="3">
        <v>137</v>
      </c>
      <c r="B140" s="9">
        <v>31</v>
      </c>
      <c r="C140">
        <v>0.36986301369862962</v>
      </c>
    </row>
    <row r="141" spans="1:3" x14ac:dyDescent="0.2">
      <c r="A141" s="3">
        <v>138</v>
      </c>
      <c r="B141" s="9">
        <v>31.14</v>
      </c>
      <c r="C141">
        <v>0.28767123287671359</v>
      </c>
    </row>
    <row r="142" spans="1:3" x14ac:dyDescent="0.2">
      <c r="A142" s="3">
        <v>139</v>
      </c>
      <c r="B142" s="9">
        <v>31.28</v>
      </c>
      <c r="C142">
        <v>0.28767123287671359</v>
      </c>
    </row>
    <row r="143" spans="1:3" x14ac:dyDescent="0.2">
      <c r="A143" s="3">
        <v>140</v>
      </c>
      <c r="B143" s="9">
        <v>31.42</v>
      </c>
      <c r="C143">
        <v>0.28767123287671359</v>
      </c>
    </row>
    <row r="144" spans="1:3" x14ac:dyDescent="0.2">
      <c r="A144" s="3">
        <v>141</v>
      </c>
      <c r="B144" s="9">
        <v>31.61</v>
      </c>
      <c r="C144">
        <v>0.39041095890410499</v>
      </c>
    </row>
    <row r="145" spans="1:3" x14ac:dyDescent="0.2">
      <c r="A145" s="3">
        <v>142</v>
      </c>
      <c r="B145" s="9">
        <v>31.74</v>
      </c>
      <c r="C145">
        <v>0.26712328767123089</v>
      </c>
    </row>
    <row r="146" spans="1:3" x14ac:dyDescent="0.2">
      <c r="A146" s="3">
        <v>143</v>
      </c>
      <c r="B146" s="9">
        <v>31.88</v>
      </c>
      <c r="C146">
        <v>0.28767123287671359</v>
      </c>
    </row>
    <row r="147" spans="1:3" x14ac:dyDescent="0.2">
      <c r="A147" s="3">
        <v>144</v>
      </c>
      <c r="B147" s="9">
        <v>32.01</v>
      </c>
      <c r="C147">
        <v>0.26712328767123089</v>
      </c>
    </row>
    <row r="148" spans="1:3" x14ac:dyDescent="0.2">
      <c r="A148" s="3">
        <v>145</v>
      </c>
      <c r="B148" s="9">
        <v>32.200000000000003</v>
      </c>
      <c r="C148">
        <v>0.39041095890411959</v>
      </c>
    </row>
    <row r="149" spans="1:3" x14ac:dyDescent="0.2">
      <c r="A149" s="3">
        <v>146</v>
      </c>
      <c r="B149" s="9">
        <v>32.340000000000003</v>
      </c>
      <c r="C149">
        <v>0.28767123287671359</v>
      </c>
    </row>
    <row r="150" spans="1:3" x14ac:dyDescent="0.2">
      <c r="A150" s="3">
        <v>147</v>
      </c>
      <c r="B150" s="9">
        <v>32.479999999999997</v>
      </c>
      <c r="C150">
        <v>0.28767123287669893</v>
      </c>
    </row>
    <row r="151" spans="1:3" x14ac:dyDescent="0.2">
      <c r="A151" s="3">
        <v>148</v>
      </c>
      <c r="B151" s="9">
        <v>32.619999999999997</v>
      </c>
      <c r="C151">
        <v>0.28767123287671359</v>
      </c>
    </row>
    <row r="152" spans="1:3" x14ac:dyDescent="0.2">
      <c r="A152" s="3">
        <v>149</v>
      </c>
      <c r="B152" s="9">
        <v>32.75</v>
      </c>
      <c r="C152">
        <v>0.26712328767123816</v>
      </c>
    </row>
    <row r="153" spans="1:3" x14ac:dyDescent="0.2">
      <c r="A153" s="3">
        <v>150</v>
      </c>
      <c r="B153" s="9">
        <v>32.880000000000003</v>
      </c>
      <c r="C153">
        <v>0.26712328767123816</v>
      </c>
    </row>
    <row r="154" spans="1:3" x14ac:dyDescent="0.2">
      <c r="A154" s="3">
        <v>151</v>
      </c>
      <c r="B154" s="9">
        <v>33.06</v>
      </c>
      <c r="C154">
        <v>0.36986301369862962</v>
      </c>
    </row>
    <row r="155" spans="1:3" x14ac:dyDescent="0.2">
      <c r="A155" s="3">
        <v>152</v>
      </c>
      <c r="B155" s="9">
        <v>33.21</v>
      </c>
      <c r="C155">
        <v>0.3082191780821889</v>
      </c>
    </row>
    <row r="156" spans="1:3" x14ac:dyDescent="0.2">
      <c r="A156" s="3">
        <v>153</v>
      </c>
      <c r="B156" s="9">
        <v>33.340000000000003</v>
      </c>
      <c r="C156">
        <v>0.26712328767123816</v>
      </c>
    </row>
    <row r="157" spans="1:3" x14ac:dyDescent="0.2">
      <c r="A157" s="3">
        <v>154</v>
      </c>
      <c r="B157" s="9">
        <v>33.47</v>
      </c>
      <c r="C157">
        <v>0.26712328767122362</v>
      </c>
    </row>
    <row r="158" spans="1:3" x14ac:dyDescent="0.2">
      <c r="A158" s="3">
        <v>155</v>
      </c>
      <c r="B158" s="9">
        <v>33.61</v>
      </c>
      <c r="C158">
        <v>0.28767123287671359</v>
      </c>
    </row>
    <row r="159" spans="1:3" x14ac:dyDescent="0.2">
      <c r="A159" s="3">
        <v>156</v>
      </c>
      <c r="B159" s="9">
        <v>33.75</v>
      </c>
      <c r="C159">
        <v>0.28767123287671359</v>
      </c>
    </row>
    <row r="160" spans="1:3" x14ac:dyDescent="0.2">
      <c r="A160" s="3">
        <v>157</v>
      </c>
      <c r="B160" s="9">
        <v>33.89</v>
      </c>
      <c r="C160">
        <v>0.28767123287671359</v>
      </c>
    </row>
    <row r="161" spans="1:3" x14ac:dyDescent="0.2">
      <c r="A161" s="3">
        <v>158</v>
      </c>
      <c r="B161" s="9">
        <v>34.03</v>
      </c>
      <c r="C161">
        <v>0.28767123287671359</v>
      </c>
    </row>
    <row r="162" spans="1:3" x14ac:dyDescent="0.2">
      <c r="A162" s="3">
        <v>159</v>
      </c>
      <c r="B162" s="9">
        <v>34.159999999999997</v>
      </c>
      <c r="C162">
        <v>0.26712328767122362</v>
      </c>
    </row>
    <row r="163" spans="1:3" x14ac:dyDescent="0.2">
      <c r="A163" s="3">
        <v>160</v>
      </c>
      <c r="B163" s="9">
        <v>34.299999999999997</v>
      </c>
      <c r="C163">
        <v>0.28767123287671359</v>
      </c>
    </row>
    <row r="164" spans="1:3" x14ac:dyDescent="0.2">
      <c r="A164" s="3">
        <v>161</v>
      </c>
      <c r="B164" s="9">
        <v>34.44</v>
      </c>
      <c r="C164">
        <v>0.28767123287671359</v>
      </c>
    </row>
    <row r="165" spans="1:3" x14ac:dyDescent="0.2">
      <c r="A165" s="3">
        <v>162</v>
      </c>
      <c r="B165" s="9">
        <v>34.58</v>
      </c>
      <c r="C165">
        <v>0.28767123287671359</v>
      </c>
    </row>
    <row r="166" spans="1:3" x14ac:dyDescent="0.2">
      <c r="A166" s="3">
        <v>163</v>
      </c>
      <c r="B166" s="9">
        <v>34.71</v>
      </c>
      <c r="C166">
        <v>0.26712328767123816</v>
      </c>
    </row>
    <row r="167" spans="1:3" x14ac:dyDescent="0.2">
      <c r="A167" s="3">
        <v>164</v>
      </c>
      <c r="B167" s="9">
        <v>34.86</v>
      </c>
      <c r="C167">
        <v>0.3082191780821889</v>
      </c>
    </row>
    <row r="168" spans="1:3" x14ac:dyDescent="0.2">
      <c r="A168" s="3">
        <v>165</v>
      </c>
      <c r="B168" s="9">
        <v>34.99</v>
      </c>
      <c r="C168">
        <v>0.26712328767123816</v>
      </c>
    </row>
    <row r="169" spans="1:3" x14ac:dyDescent="0.2">
      <c r="A169" s="3">
        <v>166</v>
      </c>
      <c r="B169" s="9">
        <v>35.130000000000003</v>
      </c>
      <c r="C169">
        <v>0.28767123287671359</v>
      </c>
    </row>
    <row r="170" spans="1:3" x14ac:dyDescent="0.2">
      <c r="A170" s="3">
        <v>167</v>
      </c>
      <c r="B170" s="9">
        <v>35.26</v>
      </c>
      <c r="C170">
        <v>0.26712328767122362</v>
      </c>
    </row>
    <row r="171" spans="1:3" x14ac:dyDescent="0.2">
      <c r="A171" s="3">
        <v>168</v>
      </c>
      <c r="B171" s="9">
        <v>35.4</v>
      </c>
      <c r="C171">
        <v>0.28767123287671359</v>
      </c>
    </row>
    <row r="172" spans="1:3" x14ac:dyDescent="0.2">
      <c r="A172" s="3">
        <v>169</v>
      </c>
      <c r="B172" s="9">
        <v>35.54</v>
      </c>
      <c r="C172">
        <v>0.28767123287671359</v>
      </c>
    </row>
    <row r="173" spans="1:3" x14ac:dyDescent="0.2">
      <c r="A173" s="3">
        <v>170</v>
      </c>
      <c r="B173" s="9">
        <v>35.68</v>
      </c>
      <c r="C173">
        <v>0.28767123287671359</v>
      </c>
    </row>
    <row r="174" spans="1:3" x14ac:dyDescent="0.2">
      <c r="A174" s="3">
        <v>171</v>
      </c>
      <c r="B174" s="9">
        <v>35.81</v>
      </c>
      <c r="C174">
        <v>0.26712328767123816</v>
      </c>
    </row>
    <row r="175" spans="1:3" x14ac:dyDescent="0.2">
      <c r="A175" s="3">
        <v>172</v>
      </c>
      <c r="B175" s="9">
        <v>35.950000000000003</v>
      </c>
      <c r="C175">
        <v>0.28767123287671359</v>
      </c>
    </row>
    <row r="176" spans="1:3" x14ac:dyDescent="0.2">
      <c r="A176" s="3">
        <v>173</v>
      </c>
      <c r="B176" s="9">
        <v>36.090000000000003</v>
      </c>
      <c r="C176">
        <v>0.28767123287671359</v>
      </c>
    </row>
    <row r="177" spans="1:3" x14ac:dyDescent="0.2">
      <c r="A177" s="3">
        <v>174</v>
      </c>
      <c r="B177" s="9">
        <v>36.229999999999997</v>
      </c>
      <c r="C177">
        <v>0.28767123287669893</v>
      </c>
    </row>
    <row r="178" spans="1:3" x14ac:dyDescent="0.2">
      <c r="A178" s="3">
        <v>175</v>
      </c>
      <c r="B178" s="9">
        <v>36.36</v>
      </c>
      <c r="C178">
        <v>0.26712328767123816</v>
      </c>
    </row>
    <row r="179" spans="1:3" x14ac:dyDescent="0.2">
      <c r="A179" s="3">
        <v>176</v>
      </c>
      <c r="B179" s="9">
        <v>36.46</v>
      </c>
      <c r="C179">
        <v>0.20547945205479748</v>
      </c>
    </row>
    <row r="180" spans="1:3" x14ac:dyDescent="0.2">
      <c r="A180" s="3">
        <v>177</v>
      </c>
      <c r="B180" s="9">
        <v>36.6</v>
      </c>
      <c r="C180">
        <v>0.28767123287671359</v>
      </c>
    </row>
    <row r="181" spans="1:3" x14ac:dyDescent="0.2">
      <c r="A181" s="3">
        <v>178</v>
      </c>
      <c r="B181" s="9">
        <v>36.729999999999997</v>
      </c>
      <c r="C181">
        <v>0.26712328767122362</v>
      </c>
    </row>
    <row r="182" spans="1:3" x14ac:dyDescent="0.2">
      <c r="A182" s="3">
        <v>179</v>
      </c>
      <c r="B182" s="9">
        <v>36.869999999999997</v>
      </c>
      <c r="C182">
        <v>0.28767123287671359</v>
      </c>
    </row>
    <row r="183" spans="1:3" x14ac:dyDescent="0.2">
      <c r="A183" s="3">
        <v>180</v>
      </c>
      <c r="B183" s="9">
        <v>37.01</v>
      </c>
      <c r="C183">
        <v>0.28767123287671359</v>
      </c>
    </row>
    <row r="184" spans="1:3" x14ac:dyDescent="0.2">
      <c r="A184" s="3">
        <v>181</v>
      </c>
      <c r="B184" s="9">
        <v>37.15</v>
      </c>
      <c r="C184">
        <v>0.28767123287671359</v>
      </c>
    </row>
    <row r="185" spans="1:3" x14ac:dyDescent="0.2">
      <c r="A185" s="3">
        <v>182</v>
      </c>
      <c r="B185" s="9">
        <v>37.24</v>
      </c>
      <c r="C185">
        <v>0.18493150684932208</v>
      </c>
    </row>
    <row r="186" spans="1:3" x14ac:dyDescent="0.2">
      <c r="A186" s="3">
        <v>183</v>
      </c>
      <c r="B186" s="9">
        <v>37.380000000000003</v>
      </c>
      <c r="C186">
        <v>0.28767123287671359</v>
      </c>
    </row>
    <row r="187" spans="1:3" x14ac:dyDescent="0.2">
      <c r="A187" s="3">
        <v>184</v>
      </c>
      <c r="B187" s="9">
        <v>37.51</v>
      </c>
      <c r="C187">
        <v>0.26712328767122362</v>
      </c>
    </row>
    <row r="188" spans="1:3" x14ac:dyDescent="0.2">
      <c r="A188" s="3">
        <v>185</v>
      </c>
      <c r="B188" s="9">
        <v>37.659999999999997</v>
      </c>
      <c r="C188">
        <v>0.3082191780821889</v>
      </c>
    </row>
    <row r="189" spans="1:3" x14ac:dyDescent="0.2">
      <c r="A189" s="3">
        <v>186</v>
      </c>
      <c r="B189" s="9">
        <v>37.79</v>
      </c>
      <c r="C189">
        <v>0.26712328767123816</v>
      </c>
    </row>
    <row r="190" spans="1:3" x14ac:dyDescent="0.2">
      <c r="A190" s="3">
        <v>187</v>
      </c>
      <c r="B190" s="9">
        <v>37.880000000000003</v>
      </c>
      <c r="C190">
        <v>0.18493150684932208</v>
      </c>
    </row>
    <row r="191" spans="1:3" x14ac:dyDescent="0.2">
      <c r="A191" s="3">
        <v>188</v>
      </c>
      <c r="B191" s="9">
        <v>38.020000000000003</v>
      </c>
      <c r="C191">
        <v>0.28767123287671359</v>
      </c>
    </row>
    <row r="192" spans="1:3" x14ac:dyDescent="0.2">
      <c r="A192" s="3">
        <v>189</v>
      </c>
      <c r="B192" s="9">
        <v>38.159999999999997</v>
      </c>
      <c r="C192">
        <v>0.28767123287669893</v>
      </c>
    </row>
    <row r="193" spans="1:3" x14ac:dyDescent="0.2">
      <c r="A193" s="3">
        <v>190</v>
      </c>
      <c r="B193" s="9">
        <v>38.299999999999997</v>
      </c>
      <c r="C193">
        <v>0.28767123287671359</v>
      </c>
    </row>
    <row r="194" spans="1:3" x14ac:dyDescent="0.2">
      <c r="A194" s="3">
        <v>191</v>
      </c>
      <c r="B194" s="9">
        <v>38.39</v>
      </c>
      <c r="C194">
        <v>0.18493150684932208</v>
      </c>
    </row>
    <row r="195" spans="1:3" x14ac:dyDescent="0.2">
      <c r="A195" s="3">
        <v>192</v>
      </c>
      <c r="B195" s="9">
        <v>38.53</v>
      </c>
      <c r="C195">
        <v>0.28767123287671359</v>
      </c>
    </row>
    <row r="196" spans="1:3" x14ac:dyDescent="0.2">
      <c r="A196" s="3">
        <v>193</v>
      </c>
      <c r="B196" s="9">
        <v>38.67</v>
      </c>
      <c r="C196">
        <v>0.28767123287671359</v>
      </c>
    </row>
    <row r="197" spans="1:3" x14ac:dyDescent="0.2">
      <c r="A197" s="3">
        <v>194</v>
      </c>
      <c r="B197" s="9">
        <v>38.81</v>
      </c>
      <c r="C197">
        <v>0.28767123287671359</v>
      </c>
    </row>
    <row r="198" spans="1:3" x14ac:dyDescent="0.2">
      <c r="A198" s="3">
        <v>195</v>
      </c>
      <c r="B198" s="9">
        <v>38.9</v>
      </c>
      <c r="C198">
        <v>0.18493150684930751</v>
      </c>
    </row>
    <row r="199" spans="1:3" x14ac:dyDescent="0.2">
      <c r="A199" s="3"/>
    </row>
    <row r="200" spans="1:3" x14ac:dyDescent="0.2">
      <c r="A200" s="3"/>
    </row>
    <row r="201" spans="1:3" x14ac:dyDescent="0.2">
      <c r="A201" s="3"/>
    </row>
    <row r="202" spans="1:3" x14ac:dyDescent="0.2">
      <c r="A202" s="3"/>
    </row>
    <row r="203" spans="1:3" x14ac:dyDescent="0.2">
      <c r="A203" s="3"/>
    </row>
    <row r="204" spans="1:3" x14ac:dyDescent="0.2">
      <c r="A204" s="3"/>
    </row>
    <row r="205" spans="1:3" x14ac:dyDescent="0.2">
      <c r="A205" s="3"/>
    </row>
    <row r="206" spans="1:3" x14ac:dyDescent="0.2">
      <c r="A206" s="3"/>
    </row>
    <row r="207" spans="1:3" x14ac:dyDescent="0.2">
      <c r="A207" s="3"/>
    </row>
    <row r="208" spans="1:3" x14ac:dyDescent="0.2">
      <c r="A208" s="3"/>
    </row>
    <row r="209" spans="1:1" x14ac:dyDescent="0.2">
      <c r="A209" s="3"/>
    </row>
    <row r="210" spans="1:1" x14ac:dyDescent="0.2">
      <c r="A210" s="3"/>
    </row>
    <row r="211" spans="1:1" x14ac:dyDescent="0.2">
      <c r="A211" s="3"/>
    </row>
    <row r="212" spans="1:1" x14ac:dyDescent="0.2">
      <c r="A212" s="3"/>
    </row>
    <row r="213" spans="1:1" x14ac:dyDescent="0.2">
      <c r="A213" s="3"/>
    </row>
    <row r="214" spans="1:1" x14ac:dyDescent="0.2">
      <c r="A214" s="3"/>
    </row>
    <row r="215" spans="1:1" x14ac:dyDescent="0.2">
      <c r="A215" s="3"/>
    </row>
    <row r="216" spans="1:1" x14ac:dyDescent="0.2">
      <c r="A216" s="3"/>
    </row>
    <row r="217" spans="1:1" x14ac:dyDescent="0.2">
      <c r="A217" s="3"/>
    </row>
    <row r="218" spans="1:1" x14ac:dyDescent="0.2">
      <c r="A218" s="3"/>
    </row>
    <row r="219" spans="1:1" x14ac:dyDescent="0.2">
      <c r="A219" s="3"/>
    </row>
    <row r="220" spans="1:1" x14ac:dyDescent="0.2">
      <c r="A220" s="3"/>
    </row>
    <row r="221" spans="1:1" x14ac:dyDescent="0.2">
      <c r="A221" s="3"/>
    </row>
    <row r="222" spans="1:1" x14ac:dyDescent="0.2">
      <c r="A222" s="3"/>
    </row>
    <row r="223" spans="1:1" x14ac:dyDescent="0.2">
      <c r="A223" s="3"/>
    </row>
    <row r="224" spans="1:1" x14ac:dyDescent="0.2">
      <c r="A224" s="3"/>
    </row>
    <row r="225" spans="1:1" x14ac:dyDescent="0.2">
      <c r="A225" s="3"/>
    </row>
    <row r="226" spans="1:1" x14ac:dyDescent="0.2">
      <c r="A226" s="3"/>
    </row>
    <row r="227" spans="1:1" x14ac:dyDescent="0.2">
      <c r="A227" s="3"/>
    </row>
    <row r="228" spans="1:1" x14ac:dyDescent="0.2">
      <c r="A228" s="3"/>
    </row>
    <row r="229" spans="1:1" x14ac:dyDescent="0.2">
      <c r="A229" s="3"/>
    </row>
    <row r="230" spans="1:1" x14ac:dyDescent="0.2">
      <c r="A230" s="3"/>
    </row>
    <row r="231" spans="1:1" x14ac:dyDescent="0.2">
      <c r="A231" s="3"/>
    </row>
    <row r="232" spans="1:1" x14ac:dyDescent="0.2">
      <c r="A232" s="3"/>
    </row>
    <row r="233" spans="1:1" x14ac:dyDescent="0.2">
      <c r="A233" s="3"/>
    </row>
    <row r="234" spans="1:1" x14ac:dyDescent="0.2">
      <c r="A234" s="3"/>
    </row>
    <row r="235" spans="1:1" x14ac:dyDescent="0.2">
      <c r="A235" s="3"/>
    </row>
    <row r="236" spans="1:1" x14ac:dyDescent="0.2">
      <c r="A236" s="3"/>
    </row>
    <row r="237" spans="1:1" x14ac:dyDescent="0.2">
      <c r="A237" s="3"/>
    </row>
    <row r="238" spans="1:1" x14ac:dyDescent="0.2">
      <c r="A238" s="3"/>
    </row>
    <row r="239" spans="1:1" x14ac:dyDescent="0.2">
      <c r="A239" s="3"/>
    </row>
    <row r="240" spans="1:1" x14ac:dyDescent="0.2">
      <c r="A240" s="3"/>
    </row>
    <row r="241" spans="1:1" x14ac:dyDescent="0.2">
      <c r="A241" s="3"/>
    </row>
    <row r="242" spans="1:1" x14ac:dyDescent="0.2">
      <c r="A242" s="3"/>
    </row>
    <row r="243" spans="1:1" x14ac:dyDescent="0.2">
      <c r="A243" s="3"/>
    </row>
    <row r="244" spans="1:1" x14ac:dyDescent="0.2">
      <c r="A244" s="3"/>
    </row>
    <row r="245" spans="1:1" x14ac:dyDescent="0.2">
      <c r="A245" s="3"/>
    </row>
    <row r="246" spans="1:1" x14ac:dyDescent="0.2">
      <c r="A246" s="3"/>
    </row>
    <row r="247" spans="1:1" x14ac:dyDescent="0.2">
      <c r="A247" s="3"/>
    </row>
    <row r="248" spans="1:1" x14ac:dyDescent="0.2">
      <c r="A248" s="3"/>
    </row>
    <row r="249" spans="1:1" x14ac:dyDescent="0.2">
      <c r="A249" s="3"/>
    </row>
    <row r="250" spans="1:1" x14ac:dyDescent="0.2">
      <c r="A250" s="3"/>
    </row>
    <row r="251" spans="1:1" x14ac:dyDescent="0.2">
      <c r="A251" s="3"/>
    </row>
    <row r="252" spans="1:1" x14ac:dyDescent="0.2">
      <c r="A252" s="3"/>
    </row>
    <row r="253" spans="1:1" x14ac:dyDescent="0.2">
      <c r="A253" s="3"/>
    </row>
    <row r="254" spans="1:1" x14ac:dyDescent="0.2">
      <c r="A254" s="3"/>
    </row>
    <row r="255" spans="1:1" x14ac:dyDescent="0.2">
      <c r="A255" s="3"/>
    </row>
    <row r="256" spans="1:1" x14ac:dyDescent="0.2">
      <c r="A256" s="3"/>
    </row>
    <row r="257" spans="1:1" x14ac:dyDescent="0.2">
      <c r="A257" s="3"/>
    </row>
    <row r="258" spans="1:1" x14ac:dyDescent="0.2">
      <c r="A258" s="3"/>
    </row>
    <row r="259" spans="1:1" x14ac:dyDescent="0.2">
      <c r="A259" s="3"/>
    </row>
    <row r="260" spans="1:1" x14ac:dyDescent="0.2">
      <c r="A260" s="3"/>
    </row>
    <row r="261" spans="1:1" x14ac:dyDescent="0.2">
      <c r="A261" s="3"/>
    </row>
    <row r="262" spans="1:1" x14ac:dyDescent="0.2">
      <c r="A262" s="3"/>
    </row>
    <row r="263" spans="1:1" x14ac:dyDescent="0.2">
      <c r="A263" s="3"/>
    </row>
    <row r="264" spans="1:1" x14ac:dyDescent="0.2">
      <c r="A264" s="3"/>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alcAllv2">
                <anchor moveWithCells="1" sizeWithCells="1">
                  <from>
                    <xdr:col>6</xdr:col>
                    <xdr:colOff>482600</xdr:colOff>
                    <xdr:row>1</xdr:row>
                    <xdr:rowOff>12700</xdr:rowOff>
                  </from>
                  <to>
                    <xdr:col>8</xdr:col>
                    <xdr:colOff>88900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7ADB1-2414-D74F-B8C2-017DEC985FD7}">
  <sheetPr codeName="Sheet14"/>
  <dimension ref="A1:O345"/>
  <sheetViews>
    <sheetView tabSelected="1" zoomScale="163" zoomScaleNormal="160" workbookViewId="0">
      <selection activeCell="Y5" sqref="Y5"/>
    </sheetView>
  </sheetViews>
  <sheetFormatPr baseColWidth="10" defaultColWidth="8.83203125" defaultRowHeight="15" x14ac:dyDescent="0.2"/>
  <cols>
    <col min="2" max="2" width="8.83203125" style="9"/>
    <col min="5" max="5" width="8.83203125" style="9"/>
  </cols>
  <sheetData>
    <row r="1" spans="1:15" x14ac:dyDescent="0.2">
      <c r="B1" s="9" t="s">
        <v>19</v>
      </c>
      <c r="E1" s="9" t="s">
        <v>36</v>
      </c>
      <c r="H1" t="s">
        <v>24</v>
      </c>
    </row>
    <row r="2" spans="1:15" x14ac:dyDescent="0.2">
      <c r="A2" s="1" t="s">
        <v>3</v>
      </c>
      <c r="B2" s="10" t="s">
        <v>4</v>
      </c>
      <c r="C2" s="1" t="s">
        <v>20</v>
      </c>
      <c r="D2" s="1" t="s">
        <v>5</v>
      </c>
      <c r="E2" s="10" t="s">
        <v>9</v>
      </c>
      <c r="F2" s="1" t="s">
        <v>11</v>
      </c>
      <c r="G2" s="1" t="s">
        <v>7</v>
      </c>
      <c r="L2" s="9" t="s">
        <v>37</v>
      </c>
      <c r="O2" s="1" t="s">
        <v>26</v>
      </c>
    </row>
    <row r="3" spans="1:15" ht="15" customHeight="1" x14ac:dyDescent="0.2">
      <c r="A3" s="1" t="s">
        <v>1</v>
      </c>
      <c r="B3" s="10" t="s">
        <v>0</v>
      </c>
      <c r="C3" s="1" t="s">
        <v>0</v>
      </c>
      <c r="D3" s="1" t="s">
        <v>30</v>
      </c>
      <c r="E3" s="10" t="s">
        <v>6</v>
      </c>
      <c r="F3" s="1" t="s">
        <v>10</v>
      </c>
      <c r="G3" s="1" t="s">
        <v>2</v>
      </c>
      <c r="K3" s="2" t="s">
        <v>8</v>
      </c>
      <c r="L3" s="9">
        <f>0.034</f>
        <v>3.4000000000000002E-2</v>
      </c>
      <c r="M3" t="s">
        <v>10</v>
      </c>
      <c r="O3" s="6" t="s">
        <v>38</v>
      </c>
    </row>
    <row r="4" spans="1:15" x14ac:dyDescent="0.2">
      <c r="A4">
        <v>1</v>
      </c>
      <c r="B4" s="9">
        <v>48.76</v>
      </c>
      <c r="C4">
        <v>9.9999999999980105E-3</v>
      </c>
      <c r="D4">
        <v>2.0547945205475367E-2</v>
      </c>
      <c r="K4" s="2" t="s">
        <v>18</v>
      </c>
      <c r="L4" s="9">
        <v>3.92</v>
      </c>
      <c r="M4" t="s">
        <v>6</v>
      </c>
      <c r="O4" t="s">
        <v>35</v>
      </c>
    </row>
    <row r="5" spans="1:15" ht="15" customHeight="1" x14ac:dyDescent="0.2">
      <c r="A5">
        <v>2</v>
      </c>
      <c r="B5" s="9">
        <v>48.87</v>
      </c>
      <c r="C5">
        <v>0.11999999999999744</v>
      </c>
      <c r="D5">
        <v>0.22602739726027282</v>
      </c>
      <c r="K5" s="2" t="s">
        <v>13</v>
      </c>
      <c r="L5" s="9">
        <v>1460</v>
      </c>
      <c r="M5" s="3" t="s">
        <v>14</v>
      </c>
      <c r="O5" t="s">
        <v>31</v>
      </c>
    </row>
    <row r="6" spans="1:15" ht="15" customHeight="1" x14ac:dyDescent="0.2">
      <c r="A6">
        <v>3</v>
      </c>
      <c r="B6" s="9">
        <v>49.22</v>
      </c>
      <c r="C6">
        <v>0.46999999999999886</v>
      </c>
      <c r="D6">
        <v>0.71917808219178381</v>
      </c>
      <c r="K6" s="2" t="s">
        <v>16</v>
      </c>
      <c r="L6" s="9">
        <v>20</v>
      </c>
      <c r="M6" s="3" t="s">
        <v>17</v>
      </c>
      <c r="O6" t="s">
        <v>34</v>
      </c>
    </row>
    <row r="7" spans="1:15" ht="15" customHeight="1" x14ac:dyDescent="0.2">
      <c r="A7">
        <v>4</v>
      </c>
      <c r="B7" s="9">
        <v>49.6</v>
      </c>
      <c r="C7">
        <v>0.85000000000000142</v>
      </c>
      <c r="D7">
        <v>0.78082191780822463</v>
      </c>
      <c r="G7" s="5"/>
      <c r="O7" s="8" t="s">
        <v>33</v>
      </c>
    </row>
    <row r="8" spans="1:15" ht="15" customHeight="1" x14ac:dyDescent="0.2">
      <c r="A8">
        <v>5</v>
      </c>
      <c r="B8" s="9">
        <v>49.93</v>
      </c>
      <c r="C8">
        <v>1.1799999999999997</v>
      </c>
      <c r="D8">
        <v>0.67808219178081852</v>
      </c>
      <c r="K8" s="2" t="s">
        <v>15</v>
      </c>
      <c r="L8">
        <f>AVERAGE(D:D)</f>
        <v>0.62364816149963986</v>
      </c>
      <c r="M8" s="3" t="s">
        <v>28</v>
      </c>
      <c r="O8" s="6"/>
    </row>
    <row r="9" spans="1:15" x14ac:dyDescent="0.2">
      <c r="A9">
        <v>6</v>
      </c>
      <c r="B9" s="9">
        <v>50.28</v>
      </c>
      <c r="C9">
        <v>1.5300000000000011</v>
      </c>
      <c r="D9">
        <v>0.71917808219178381</v>
      </c>
      <c r="K9" s="2" t="s">
        <v>12</v>
      </c>
      <c r="L9" s="7">
        <f>MAX(G:G)</f>
        <v>0.88221176470626872</v>
      </c>
      <c r="O9" s="3"/>
    </row>
    <row r="10" spans="1:15" x14ac:dyDescent="0.2">
      <c r="A10">
        <v>7</v>
      </c>
      <c r="B10" s="9">
        <v>50.66</v>
      </c>
      <c r="C10">
        <v>1.9099999999999966</v>
      </c>
      <c r="D10">
        <v>0.78082191780820998</v>
      </c>
      <c r="K10" s="2" t="s">
        <v>21</v>
      </c>
      <c r="L10" s="9">
        <v>48.3</v>
      </c>
      <c r="M10" t="s">
        <v>23</v>
      </c>
    </row>
    <row r="11" spans="1:15" x14ac:dyDescent="0.2">
      <c r="A11">
        <v>8</v>
      </c>
      <c r="B11" s="9">
        <v>51</v>
      </c>
      <c r="C11">
        <v>2.25</v>
      </c>
      <c r="D11">
        <v>0.69863013698630849</v>
      </c>
      <c r="K11" s="2" t="s">
        <v>22</v>
      </c>
      <c r="L11" s="9">
        <v>48.75</v>
      </c>
      <c r="M11" t="s">
        <v>23</v>
      </c>
    </row>
    <row r="12" spans="1:15" x14ac:dyDescent="0.2">
      <c r="A12">
        <v>9</v>
      </c>
      <c r="B12" s="9">
        <v>51.28</v>
      </c>
      <c r="C12">
        <v>2.5300000000000011</v>
      </c>
      <c r="D12">
        <v>0.57534246575342718</v>
      </c>
      <c r="G12" s="5"/>
      <c r="K12" s="2" t="s">
        <v>32</v>
      </c>
      <c r="L12" s="7">
        <f>AVERAGE(G4:G200)</f>
        <v>0.86622058823567838</v>
      </c>
    </row>
    <row r="13" spans="1:15" x14ac:dyDescent="0.2">
      <c r="A13">
        <v>10</v>
      </c>
      <c r="B13" s="9">
        <v>51.62</v>
      </c>
      <c r="C13">
        <v>2.8699999999999974</v>
      </c>
      <c r="D13">
        <v>0.69863013698629395</v>
      </c>
      <c r="G13" s="5"/>
    </row>
    <row r="14" spans="1:15" x14ac:dyDescent="0.2">
      <c r="A14">
        <v>11</v>
      </c>
      <c r="B14" s="9">
        <v>51.97</v>
      </c>
      <c r="C14">
        <v>3.2199999999999989</v>
      </c>
      <c r="D14">
        <v>0.71917808219178381</v>
      </c>
      <c r="G14" s="5"/>
    </row>
    <row r="15" spans="1:15" x14ac:dyDescent="0.2">
      <c r="A15">
        <v>12</v>
      </c>
      <c r="B15" s="9">
        <v>52.25</v>
      </c>
      <c r="C15">
        <v>3.5</v>
      </c>
      <c r="D15">
        <v>0.57534246575342718</v>
      </c>
      <c r="F15" s="4"/>
      <c r="G15" s="5"/>
    </row>
    <row r="16" spans="1:15" x14ac:dyDescent="0.2">
      <c r="A16">
        <v>13</v>
      </c>
      <c r="B16" s="9">
        <v>52.58</v>
      </c>
      <c r="C16">
        <v>3.8299999999999983</v>
      </c>
      <c r="D16">
        <v>0.67808219178081852</v>
      </c>
      <c r="G16" s="5"/>
    </row>
    <row r="17" spans="1:7" x14ac:dyDescent="0.2">
      <c r="A17">
        <v>14</v>
      </c>
      <c r="B17" s="9">
        <v>52.92</v>
      </c>
      <c r="C17">
        <v>4.1700000000000017</v>
      </c>
      <c r="D17">
        <v>0.69863013698630849</v>
      </c>
      <c r="G17" s="5"/>
    </row>
    <row r="18" spans="1:7" x14ac:dyDescent="0.2">
      <c r="A18">
        <v>15</v>
      </c>
      <c r="B18" s="9">
        <v>53.21</v>
      </c>
      <c r="C18">
        <v>4.4600000000000009</v>
      </c>
      <c r="D18">
        <v>0.59589041095890249</v>
      </c>
      <c r="G18" s="5"/>
    </row>
    <row r="19" spans="1:7" x14ac:dyDescent="0.2">
      <c r="A19">
        <v>16</v>
      </c>
      <c r="B19" s="9">
        <v>53.55</v>
      </c>
      <c r="C19">
        <v>4.7999999999999972</v>
      </c>
      <c r="D19">
        <v>0.69863013698629395</v>
      </c>
      <c r="G19" s="5"/>
    </row>
    <row r="20" spans="1:7" x14ac:dyDescent="0.2">
      <c r="A20">
        <v>17</v>
      </c>
      <c r="B20" s="9">
        <v>53.83</v>
      </c>
      <c r="C20">
        <v>5.0799999999999983</v>
      </c>
      <c r="D20">
        <v>0.57534246575342718</v>
      </c>
      <c r="G20" s="5"/>
    </row>
    <row r="21" spans="1:7" x14ac:dyDescent="0.2">
      <c r="A21">
        <v>18</v>
      </c>
      <c r="B21" s="9">
        <v>54.17</v>
      </c>
      <c r="C21">
        <v>5.4200000000000017</v>
      </c>
      <c r="D21">
        <v>0.69863013698630849</v>
      </c>
      <c r="G21" s="5"/>
    </row>
    <row r="22" spans="1:7" x14ac:dyDescent="0.2">
      <c r="A22">
        <v>19</v>
      </c>
      <c r="B22" s="9">
        <v>54.51</v>
      </c>
      <c r="C22">
        <v>5.759999999999998</v>
      </c>
      <c r="D22">
        <v>0.69863013698629395</v>
      </c>
      <c r="G22" s="5"/>
    </row>
    <row r="23" spans="1:7" x14ac:dyDescent="0.2">
      <c r="A23">
        <v>20</v>
      </c>
      <c r="B23" s="9">
        <v>54.79</v>
      </c>
      <c r="C23">
        <v>6.0399999999999991</v>
      </c>
      <c r="D23">
        <v>0.57534246575342718</v>
      </c>
      <c r="G23" s="5"/>
    </row>
    <row r="24" spans="1:7" x14ac:dyDescent="0.2">
      <c r="A24">
        <v>21</v>
      </c>
      <c r="B24" s="9">
        <v>55.13</v>
      </c>
      <c r="C24">
        <v>6.3800000000000026</v>
      </c>
      <c r="D24">
        <v>0.69863013698630849</v>
      </c>
      <c r="G24" s="5"/>
    </row>
    <row r="25" spans="1:7" x14ac:dyDescent="0.2">
      <c r="A25">
        <v>22</v>
      </c>
      <c r="B25" s="9">
        <v>55.42</v>
      </c>
      <c r="C25">
        <v>6.6700000000000017</v>
      </c>
      <c r="D25">
        <v>0.59589041095890249</v>
      </c>
      <c r="G25" s="5"/>
    </row>
    <row r="26" spans="1:7" x14ac:dyDescent="0.2">
      <c r="A26">
        <v>23</v>
      </c>
      <c r="B26" s="9">
        <v>55.75</v>
      </c>
      <c r="C26">
        <v>7</v>
      </c>
      <c r="D26">
        <v>0.67808219178081852</v>
      </c>
      <c r="G26" s="5"/>
    </row>
    <row r="27" spans="1:7" x14ac:dyDescent="0.2">
      <c r="A27">
        <v>24</v>
      </c>
      <c r="B27" s="9">
        <v>56.04</v>
      </c>
      <c r="C27">
        <v>7.2899999999999991</v>
      </c>
      <c r="D27">
        <v>0.59589041095890249</v>
      </c>
      <c r="G27" s="5"/>
    </row>
    <row r="28" spans="1:7" x14ac:dyDescent="0.2">
      <c r="A28">
        <v>25</v>
      </c>
      <c r="B28" s="9">
        <v>56.33</v>
      </c>
      <c r="C28">
        <v>7.5799999999999983</v>
      </c>
      <c r="D28">
        <v>0.59589041095890249</v>
      </c>
      <c r="G28" s="5"/>
    </row>
    <row r="29" spans="1:7" x14ac:dyDescent="0.2">
      <c r="A29">
        <v>26</v>
      </c>
      <c r="B29" s="9">
        <v>56.66</v>
      </c>
      <c r="C29">
        <v>7.9099999999999966</v>
      </c>
      <c r="D29">
        <v>0.67808219178081852</v>
      </c>
      <c r="G29" s="5"/>
    </row>
    <row r="30" spans="1:7" x14ac:dyDescent="0.2">
      <c r="A30">
        <v>27</v>
      </c>
      <c r="B30" s="9">
        <v>56.96</v>
      </c>
      <c r="C30">
        <v>8.2100000000000009</v>
      </c>
      <c r="D30">
        <v>0.61643835616439246</v>
      </c>
      <c r="G30" s="5"/>
    </row>
    <row r="31" spans="1:7" x14ac:dyDescent="0.2">
      <c r="A31">
        <v>28</v>
      </c>
      <c r="B31" s="9">
        <v>57.29</v>
      </c>
      <c r="C31">
        <v>8.5399999999999991</v>
      </c>
      <c r="D31">
        <v>0.67808219178081852</v>
      </c>
      <c r="G31" s="5"/>
    </row>
    <row r="32" spans="1:7" x14ac:dyDescent="0.2">
      <c r="A32">
        <v>29</v>
      </c>
      <c r="B32" s="9">
        <v>57.63</v>
      </c>
      <c r="C32">
        <v>8.8800000000000026</v>
      </c>
      <c r="D32">
        <v>0.69863013698630849</v>
      </c>
      <c r="G32" s="5"/>
    </row>
    <row r="33" spans="1:7" x14ac:dyDescent="0.2">
      <c r="A33">
        <v>30</v>
      </c>
      <c r="B33" s="9">
        <v>57.92</v>
      </c>
      <c r="C33">
        <v>9.1700000000000017</v>
      </c>
      <c r="D33">
        <v>0.59589041095890249</v>
      </c>
      <c r="G33" s="5"/>
    </row>
    <row r="34" spans="1:7" x14ac:dyDescent="0.2">
      <c r="A34">
        <v>31</v>
      </c>
      <c r="B34" s="9">
        <v>58.26</v>
      </c>
      <c r="C34">
        <v>9.509999999999998</v>
      </c>
      <c r="D34">
        <v>0.69863013698629395</v>
      </c>
      <c r="G34" s="5"/>
    </row>
    <row r="35" spans="1:7" x14ac:dyDescent="0.2">
      <c r="A35">
        <v>32</v>
      </c>
      <c r="B35" s="9">
        <v>58.55</v>
      </c>
      <c r="C35">
        <v>9.7999999999999972</v>
      </c>
      <c r="D35">
        <v>0.59589041095890249</v>
      </c>
      <c r="G35" s="5"/>
    </row>
    <row r="36" spans="1:7" x14ac:dyDescent="0.2">
      <c r="A36">
        <v>33</v>
      </c>
      <c r="B36" s="9">
        <v>58.87</v>
      </c>
      <c r="C36">
        <v>10.119999999999997</v>
      </c>
      <c r="D36">
        <v>0.6575342465753431</v>
      </c>
      <c r="G36" s="5"/>
    </row>
    <row r="37" spans="1:7" x14ac:dyDescent="0.2">
      <c r="A37">
        <v>34</v>
      </c>
      <c r="B37" s="9">
        <v>59.21</v>
      </c>
      <c r="C37">
        <v>10.46</v>
      </c>
      <c r="D37">
        <v>0.69863013698630849</v>
      </c>
      <c r="G37" s="5"/>
    </row>
    <row r="38" spans="1:7" x14ac:dyDescent="0.2">
      <c r="A38">
        <v>35</v>
      </c>
      <c r="B38" s="9">
        <v>59.55</v>
      </c>
      <c r="C38">
        <v>10.799999999999997</v>
      </c>
      <c r="D38">
        <v>0.69863013698629395</v>
      </c>
      <c r="G38" s="5"/>
    </row>
    <row r="39" spans="1:7" x14ac:dyDescent="0.2">
      <c r="A39">
        <v>36</v>
      </c>
      <c r="B39" s="9">
        <v>59.83</v>
      </c>
      <c r="C39">
        <v>11.079999999999998</v>
      </c>
      <c r="D39">
        <v>0.57534246575342718</v>
      </c>
      <c r="G39" s="5"/>
    </row>
    <row r="40" spans="1:7" x14ac:dyDescent="0.2">
      <c r="A40">
        <v>37</v>
      </c>
      <c r="B40" s="9">
        <v>60.17</v>
      </c>
      <c r="C40">
        <v>11.420000000000002</v>
      </c>
      <c r="D40">
        <v>0.69863013698630849</v>
      </c>
      <c r="G40" s="5"/>
    </row>
    <row r="41" spans="1:7" x14ac:dyDescent="0.2">
      <c r="A41">
        <v>38</v>
      </c>
      <c r="B41" s="9">
        <v>60.52</v>
      </c>
      <c r="C41">
        <v>11.770000000000003</v>
      </c>
      <c r="D41">
        <v>0.71917808219178381</v>
      </c>
      <c r="G41" s="5"/>
    </row>
    <row r="42" spans="1:7" x14ac:dyDescent="0.2">
      <c r="A42">
        <v>39</v>
      </c>
      <c r="B42" s="9">
        <v>60.79</v>
      </c>
      <c r="C42">
        <v>12.04</v>
      </c>
      <c r="D42">
        <v>0.55479452054793721</v>
      </c>
      <c r="G42" s="5"/>
    </row>
    <row r="43" spans="1:7" x14ac:dyDescent="0.2">
      <c r="A43">
        <v>40</v>
      </c>
      <c r="B43" s="9">
        <v>61.06</v>
      </c>
      <c r="C43">
        <v>12.310000000000002</v>
      </c>
      <c r="D43">
        <v>0.55479452054795175</v>
      </c>
      <c r="G43" s="5"/>
    </row>
    <row r="44" spans="1:7" x14ac:dyDescent="0.2">
      <c r="A44">
        <v>41</v>
      </c>
      <c r="B44" s="9">
        <v>61.34</v>
      </c>
      <c r="C44">
        <v>12.590000000000003</v>
      </c>
      <c r="D44">
        <v>0.57534246575342718</v>
      </c>
      <c r="G44" s="5"/>
    </row>
    <row r="45" spans="1:7" x14ac:dyDescent="0.2">
      <c r="A45">
        <v>42</v>
      </c>
      <c r="B45" s="9">
        <v>61.69</v>
      </c>
      <c r="C45">
        <v>12.939999999999998</v>
      </c>
      <c r="D45">
        <v>0.71917808219176926</v>
      </c>
      <c r="G45" s="5"/>
    </row>
    <row r="46" spans="1:7" x14ac:dyDescent="0.2">
      <c r="A46">
        <v>43</v>
      </c>
      <c r="B46" s="9">
        <v>62.01</v>
      </c>
      <c r="C46">
        <v>13.259999999999998</v>
      </c>
      <c r="D46">
        <v>0.6575342465753431</v>
      </c>
      <c r="G46" s="5"/>
    </row>
    <row r="47" spans="1:7" x14ac:dyDescent="0.2">
      <c r="A47">
        <v>44</v>
      </c>
      <c r="B47" s="9">
        <v>62.31</v>
      </c>
      <c r="C47">
        <v>13.560000000000002</v>
      </c>
      <c r="D47">
        <v>0.61643835616439246</v>
      </c>
      <c r="G47" s="5"/>
    </row>
    <row r="48" spans="1:7" x14ac:dyDescent="0.2">
      <c r="A48">
        <v>45</v>
      </c>
      <c r="B48" s="9">
        <v>62.65</v>
      </c>
      <c r="C48">
        <v>13.899999999999999</v>
      </c>
      <c r="D48">
        <v>0.69863013698629395</v>
      </c>
      <c r="G48" s="5"/>
    </row>
    <row r="49" spans="1:7" x14ac:dyDescent="0.2">
      <c r="A49">
        <v>46</v>
      </c>
      <c r="B49" s="9">
        <v>62.98</v>
      </c>
      <c r="C49">
        <v>14.229999999999997</v>
      </c>
      <c r="D49">
        <v>0.67808219178081852</v>
      </c>
      <c r="G49" s="5"/>
    </row>
    <row r="50" spans="1:7" x14ac:dyDescent="0.2">
      <c r="A50">
        <v>47</v>
      </c>
      <c r="B50" s="9">
        <v>63.31</v>
      </c>
      <c r="C50">
        <v>14.560000000000002</v>
      </c>
      <c r="D50">
        <v>0.67808219178083318</v>
      </c>
      <c r="G50" s="5"/>
    </row>
    <row r="51" spans="1:7" x14ac:dyDescent="0.2">
      <c r="A51">
        <v>48</v>
      </c>
      <c r="B51" s="9">
        <v>63.65</v>
      </c>
      <c r="C51">
        <v>14.899999999999999</v>
      </c>
      <c r="D51">
        <v>0.69863013698629395</v>
      </c>
      <c r="G51" s="5"/>
    </row>
    <row r="52" spans="1:7" x14ac:dyDescent="0.2">
      <c r="A52">
        <v>49</v>
      </c>
      <c r="B52" s="9">
        <v>63.94</v>
      </c>
      <c r="C52">
        <v>15.189999999999998</v>
      </c>
      <c r="D52">
        <v>0.59589041095890249</v>
      </c>
      <c r="G52" s="5"/>
    </row>
    <row r="53" spans="1:7" x14ac:dyDescent="0.2">
      <c r="A53">
        <v>50</v>
      </c>
      <c r="B53" s="9">
        <v>64.11</v>
      </c>
      <c r="C53">
        <v>15.36</v>
      </c>
      <c r="D53">
        <v>0.34931506849315425</v>
      </c>
      <c r="G53" s="5"/>
    </row>
    <row r="54" spans="1:7" x14ac:dyDescent="0.2">
      <c r="A54">
        <v>51</v>
      </c>
      <c r="B54" s="9">
        <v>64.17</v>
      </c>
      <c r="C54">
        <v>15.420000000000002</v>
      </c>
      <c r="D54">
        <v>0.1232876712328814</v>
      </c>
      <c r="G54" s="5"/>
    </row>
    <row r="55" spans="1:7" x14ac:dyDescent="0.2">
      <c r="A55">
        <v>52</v>
      </c>
      <c r="B55" s="9">
        <v>64.489999999999995</v>
      </c>
      <c r="C55">
        <v>15.739999999999995</v>
      </c>
      <c r="D55">
        <v>0.65753424657532855</v>
      </c>
      <c r="G55" s="5"/>
    </row>
    <row r="56" spans="1:7" x14ac:dyDescent="0.2">
      <c r="A56">
        <v>53</v>
      </c>
      <c r="B56" s="9">
        <v>64.78</v>
      </c>
      <c r="C56">
        <v>16.03</v>
      </c>
      <c r="D56">
        <v>0.59589041095891704</v>
      </c>
      <c r="G56" s="5"/>
    </row>
    <row r="57" spans="1:7" x14ac:dyDescent="0.2">
      <c r="A57">
        <v>54</v>
      </c>
      <c r="B57" s="9">
        <v>65.11</v>
      </c>
      <c r="C57">
        <v>16.36</v>
      </c>
      <c r="D57">
        <v>0.67808219178081852</v>
      </c>
      <c r="G57" s="5"/>
    </row>
    <row r="58" spans="1:7" x14ac:dyDescent="0.2">
      <c r="A58">
        <v>55</v>
      </c>
      <c r="B58" s="9">
        <v>65.45</v>
      </c>
      <c r="C58">
        <v>16.700000000000003</v>
      </c>
      <c r="D58">
        <v>0.69863013698630849</v>
      </c>
      <c r="G58" s="5"/>
    </row>
    <row r="59" spans="1:7" x14ac:dyDescent="0.2">
      <c r="A59">
        <v>56</v>
      </c>
      <c r="B59" s="9">
        <v>65.790000000000006</v>
      </c>
      <c r="C59">
        <v>17.040000000000006</v>
      </c>
      <c r="D59">
        <v>0.69863013698630849</v>
      </c>
      <c r="G59" s="5"/>
    </row>
    <row r="60" spans="1:7" x14ac:dyDescent="0.2">
      <c r="A60">
        <v>57</v>
      </c>
      <c r="B60" s="9">
        <v>66.12</v>
      </c>
      <c r="C60">
        <v>17.370000000000005</v>
      </c>
      <c r="D60">
        <v>0.67808219178081852</v>
      </c>
      <c r="G60" s="5"/>
    </row>
    <row r="61" spans="1:7" x14ac:dyDescent="0.2">
      <c r="A61">
        <v>58</v>
      </c>
      <c r="B61" s="9">
        <v>66.45</v>
      </c>
      <c r="C61">
        <v>17.700000000000003</v>
      </c>
      <c r="D61">
        <v>0.67808219178081852</v>
      </c>
      <c r="G61" s="5"/>
    </row>
    <row r="62" spans="1:7" x14ac:dyDescent="0.2">
      <c r="A62">
        <v>59</v>
      </c>
      <c r="B62" s="9">
        <v>66.8</v>
      </c>
      <c r="C62">
        <v>18.049999999999997</v>
      </c>
      <c r="D62">
        <v>0.71917808219176926</v>
      </c>
      <c r="E62" s="9">
        <v>0.60599999999999998</v>
      </c>
      <c r="F62">
        <v>4.5742999999869374E-3</v>
      </c>
      <c r="G62">
        <v>0.86546176470626657</v>
      </c>
    </row>
    <row r="63" spans="1:7" x14ac:dyDescent="0.2">
      <c r="A63">
        <v>60</v>
      </c>
      <c r="B63" s="9">
        <v>48.57</v>
      </c>
      <c r="C63">
        <v>18.32</v>
      </c>
      <c r="D63">
        <v>0.55479452054795175</v>
      </c>
      <c r="G63" s="5"/>
    </row>
    <row r="64" spans="1:7" x14ac:dyDescent="0.2">
      <c r="A64">
        <v>61</v>
      </c>
      <c r="B64" s="9">
        <v>48.82</v>
      </c>
      <c r="C64">
        <v>18.57</v>
      </c>
      <c r="D64">
        <v>0.51369863013698636</v>
      </c>
      <c r="G64" s="5"/>
    </row>
    <row r="65" spans="1:7" x14ac:dyDescent="0.2">
      <c r="A65">
        <v>62</v>
      </c>
      <c r="B65" s="9">
        <v>49.16</v>
      </c>
      <c r="C65">
        <v>18.909999999999997</v>
      </c>
      <c r="D65">
        <v>0.69863013698629395</v>
      </c>
      <c r="G65" s="5"/>
    </row>
    <row r="66" spans="1:7" x14ac:dyDescent="0.2">
      <c r="A66">
        <v>63</v>
      </c>
      <c r="B66" s="9">
        <v>49.5</v>
      </c>
      <c r="C66">
        <v>19.25</v>
      </c>
      <c r="D66">
        <v>0.69863013698630849</v>
      </c>
      <c r="G66" s="5"/>
    </row>
    <row r="67" spans="1:7" x14ac:dyDescent="0.2">
      <c r="A67">
        <v>64</v>
      </c>
      <c r="B67" s="9">
        <v>49.84</v>
      </c>
      <c r="C67">
        <v>19.590000000000003</v>
      </c>
      <c r="D67">
        <v>0.69863013698630849</v>
      </c>
      <c r="G67" s="5"/>
    </row>
    <row r="68" spans="1:7" x14ac:dyDescent="0.2">
      <c r="A68">
        <v>65</v>
      </c>
      <c r="B68" s="9">
        <v>50.17</v>
      </c>
      <c r="C68">
        <v>19.920000000000002</v>
      </c>
      <c r="D68">
        <v>0.67808219178081852</v>
      </c>
      <c r="G68" s="5"/>
    </row>
    <row r="69" spans="1:7" x14ac:dyDescent="0.2">
      <c r="A69">
        <v>66</v>
      </c>
      <c r="B69" s="9">
        <v>50.51</v>
      </c>
      <c r="C69">
        <v>20.259999999999998</v>
      </c>
      <c r="D69">
        <v>0.69863013698629395</v>
      </c>
      <c r="G69" s="5"/>
    </row>
    <row r="70" spans="1:7" x14ac:dyDescent="0.2">
      <c r="A70">
        <v>67</v>
      </c>
      <c r="B70" s="9">
        <v>50.85</v>
      </c>
      <c r="C70">
        <v>20.6</v>
      </c>
      <c r="D70">
        <v>0.69863013698630849</v>
      </c>
      <c r="G70" s="5"/>
    </row>
    <row r="71" spans="1:7" x14ac:dyDescent="0.2">
      <c r="A71">
        <v>68</v>
      </c>
      <c r="B71" s="9">
        <v>51.09</v>
      </c>
      <c r="C71">
        <v>20.840000000000003</v>
      </c>
      <c r="D71">
        <v>0.49315068493151104</v>
      </c>
      <c r="G71" s="5"/>
    </row>
    <row r="72" spans="1:7" x14ac:dyDescent="0.2">
      <c r="A72">
        <v>69</v>
      </c>
      <c r="B72" s="9">
        <v>51.43</v>
      </c>
      <c r="C72">
        <v>21.18</v>
      </c>
      <c r="D72">
        <v>0.69863013698629395</v>
      </c>
      <c r="G72" s="5"/>
    </row>
    <row r="73" spans="1:7" x14ac:dyDescent="0.2">
      <c r="A73">
        <v>70</v>
      </c>
      <c r="B73" s="9">
        <v>51.71</v>
      </c>
      <c r="C73">
        <v>21.46</v>
      </c>
      <c r="D73">
        <v>0.57534246575342718</v>
      </c>
      <c r="G73" s="5"/>
    </row>
    <row r="74" spans="1:7" x14ac:dyDescent="0.2">
      <c r="A74">
        <v>71</v>
      </c>
      <c r="B74" s="9">
        <v>51.92</v>
      </c>
      <c r="C74">
        <v>21.67</v>
      </c>
      <c r="D74">
        <v>0.43150684931507027</v>
      </c>
      <c r="G74" s="5"/>
    </row>
    <row r="75" spans="1:7" x14ac:dyDescent="0.2">
      <c r="A75">
        <v>72</v>
      </c>
      <c r="B75" s="9">
        <v>52.24</v>
      </c>
      <c r="C75">
        <v>21.990000000000002</v>
      </c>
      <c r="D75">
        <v>0.6575342465753431</v>
      </c>
      <c r="G75" s="5"/>
    </row>
    <row r="76" spans="1:7" x14ac:dyDescent="0.2">
      <c r="A76">
        <v>73</v>
      </c>
      <c r="B76" s="9">
        <v>52.56</v>
      </c>
      <c r="C76">
        <v>22.310000000000002</v>
      </c>
      <c r="D76">
        <v>0.6575342465753431</v>
      </c>
      <c r="G76" s="5"/>
    </row>
    <row r="77" spans="1:7" x14ac:dyDescent="0.2">
      <c r="A77">
        <v>74</v>
      </c>
      <c r="B77" s="9">
        <v>52.76</v>
      </c>
      <c r="C77">
        <v>22.509999999999998</v>
      </c>
      <c r="D77">
        <v>0.41095890410958036</v>
      </c>
      <c r="G77" s="5"/>
    </row>
    <row r="78" spans="1:7" x14ac:dyDescent="0.2">
      <c r="A78">
        <v>75</v>
      </c>
      <c r="B78" s="9">
        <v>53.1</v>
      </c>
      <c r="C78">
        <v>22.85</v>
      </c>
      <c r="D78">
        <v>0.69863013698630849</v>
      </c>
      <c r="G78" s="5"/>
    </row>
    <row r="79" spans="1:7" x14ac:dyDescent="0.2">
      <c r="A79">
        <v>76</v>
      </c>
      <c r="B79" s="9">
        <v>53.4</v>
      </c>
      <c r="C79">
        <v>23.15</v>
      </c>
      <c r="D79">
        <v>0.61643835616437781</v>
      </c>
      <c r="G79" s="5"/>
    </row>
    <row r="80" spans="1:7" x14ac:dyDescent="0.2">
      <c r="A80">
        <v>77</v>
      </c>
      <c r="B80" s="9">
        <v>53.75</v>
      </c>
      <c r="C80">
        <v>23.5</v>
      </c>
      <c r="D80">
        <v>0.71917808219178381</v>
      </c>
      <c r="G80" s="5"/>
    </row>
    <row r="81" spans="1:7" x14ac:dyDescent="0.2">
      <c r="A81">
        <v>78</v>
      </c>
      <c r="B81" s="9">
        <v>54.09</v>
      </c>
      <c r="C81">
        <v>23.840000000000003</v>
      </c>
      <c r="D81">
        <v>0.69863013698630849</v>
      </c>
      <c r="G81" s="5"/>
    </row>
    <row r="82" spans="1:7" x14ac:dyDescent="0.2">
      <c r="A82">
        <v>79</v>
      </c>
      <c r="B82" s="9">
        <v>54.44</v>
      </c>
      <c r="C82">
        <v>24.189999999999998</v>
      </c>
      <c r="D82">
        <v>0.71917808219176926</v>
      </c>
      <c r="G82" s="5"/>
    </row>
    <row r="83" spans="1:7" x14ac:dyDescent="0.2">
      <c r="A83">
        <v>80</v>
      </c>
      <c r="B83" s="9">
        <v>54.66</v>
      </c>
      <c r="C83">
        <v>24.409999999999997</v>
      </c>
      <c r="D83">
        <v>0.45205479452054564</v>
      </c>
      <c r="G83" s="5"/>
    </row>
    <row r="84" spans="1:7" x14ac:dyDescent="0.2">
      <c r="A84">
        <v>81</v>
      </c>
      <c r="B84" s="9">
        <v>54.99</v>
      </c>
      <c r="C84">
        <v>24.740000000000002</v>
      </c>
      <c r="D84">
        <v>0.67808219178083318</v>
      </c>
      <c r="G84" s="5"/>
    </row>
    <row r="85" spans="1:7" x14ac:dyDescent="0.2">
      <c r="A85">
        <v>82</v>
      </c>
      <c r="B85" s="9">
        <v>55.35</v>
      </c>
      <c r="C85">
        <v>25.1</v>
      </c>
      <c r="D85">
        <v>0.73972602739725923</v>
      </c>
      <c r="G85" s="5"/>
    </row>
    <row r="86" spans="1:7" x14ac:dyDescent="0.2">
      <c r="A86">
        <v>83</v>
      </c>
      <c r="B86" s="9">
        <v>55.66</v>
      </c>
      <c r="C86">
        <v>25.409999999999997</v>
      </c>
      <c r="D86">
        <v>0.63698630136985313</v>
      </c>
      <c r="G86" s="5"/>
    </row>
    <row r="87" spans="1:7" x14ac:dyDescent="0.2">
      <c r="A87">
        <v>84</v>
      </c>
      <c r="B87" s="9">
        <v>56</v>
      </c>
      <c r="C87">
        <v>25.75</v>
      </c>
      <c r="D87">
        <v>0.69863013698630849</v>
      </c>
      <c r="G87" s="5"/>
    </row>
    <row r="88" spans="1:7" x14ac:dyDescent="0.2">
      <c r="A88">
        <v>85</v>
      </c>
      <c r="B88" s="9">
        <v>56.33</v>
      </c>
      <c r="C88">
        <v>26.08</v>
      </c>
      <c r="D88">
        <v>0.67808219178081852</v>
      </c>
      <c r="G88" s="5"/>
    </row>
    <row r="89" spans="1:7" x14ac:dyDescent="0.2">
      <c r="A89">
        <v>86</v>
      </c>
      <c r="B89" s="9">
        <v>56.65</v>
      </c>
      <c r="C89">
        <v>26.4</v>
      </c>
      <c r="D89">
        <v>0.6575342465753431</v>
      </c>
      <c r="G89" s="5"/>
    </row>
    <row r="90" spans="1:7" x14ac:dyDescent="0.2">
      <c r="A90">
        <v>87</v>
      </c>
      <c r="B90" s="9">
        <v>56.88</v>
      </c>
      <c r="C90">
        <v>26.630000000000003</v>
      </c>
      <c r="D90">
        <v>0.47260273972603561</v>
      </c>
      <c r="G90" s="5"/>
    </row>
    <row r="91" spans="1:7" x14ac:dyDescent="0.2">
      <c r="A91">
        <v>88</v>
      </c>
      <c r="B91" s="9">
        <v>57.1</v>
      </c>
      <c r="C91">
        <v>26.85</v>
      </c>
      <c r="D91">
        <v>0.45205479452054564</v>
      </c>
      <c r="G91" s="5"/>
    </row>
    <row r="92" spans="1:7" x14ac:dyDescent="0.2">
      <c r="A92">
        <v>89</v>
      </c>
      <c r="B92" s="9">
        <v>57.39</v>
      </c>
      <c r="C92">
        <v>27.14</v>
      </c>
      <c r="D92">
        <v>0.59589041095890249</v>
      </c>
      <c r="G92" s="5"/>
    </row>
    <row r="93" spans="1:7" x14ac:dyDescent="0.2">
      <c r="A93">
        <v>90</v>
      </c>
      <c r="B93" s="9">
        <v>57.62</v>
      </c>
      <c r="C93">
        <v>27.369999999999997</v>
      </c>
      <c r="D93">
        <v>0.47260273972602107</v>
      </c>
      <c r="G93" s="5"/>
    </row>
    <row r="94" spans="1:7" x14ac:dyDescent="0.2">
      <c r="A94">
        <v>91</v>
      </c>
      <c r="B94" s="9">
        <v>57.96</v>
      </c>
      <c r="C94">
        <v>27.71</v>
      </c>
      <c r="D94">
        <v>0.69863013698630849</v>
      </c>
      <c r="G94" s="5"/>
    </row>
    <row r="95" spans="1:7" x14ac:dyDescent="0.2">
      <c r="A95">
        <v>92</v>
      </c>
      <c r="B95" s="9">
        <v>58.29</v>
      </c>
      <c r="C95">
        <v>28.04</v>
      </c>
      <c r="D95">
        <v>0.67808219178081852</v>
      </c>
      <c r="G95" s="5"/>
    </row>
    <row r="96" spans="1:7" x14ac:dyDescent="0.2">
      <c r="A96">
        <v>93</v>
      </c>
      <c r="B96" s="9">
        <v>58.63</v>
      </c>
      <c r="C96">
        <v>28.380000000000003</v>
      </c>
      <c r="D96">
        <v>0.69863013698630849</v>
      </c>
      <c r="G96" s="5"/>
    </row>
    <row r="97" spans="1:7" x14ac:dyDescent="0.2">
      <c r="A97">
        <v>94</v>
      </c>
      <c r="B97" s="9">
        <v>58.97</v>
      </c>
      <c r="C97">
        <v>28.72</v>
      </c>
      <c r="D97">
        <v>0.69863013698629395</v>
      </c>
      <c r="G97" s="5"/>
    </row>
    <row r="98" spans="1:7" x14ac:dyDescent="0.2">
      <c r="A98">
        <v>95</v>
      </c>
      <c r="B98" s="9">
        <v>59.23</v>
      </c>
      <c r="C98">
        <v>28.979999999999997</v>
      </c>
      <c r="D98">
        <v>0.53424657534246178</v>
      </c>
      <c r="G98" s="5"/>
    </row>
    <row r="99" spans="1:7" x14ac:dyDescent="0.2">
      <c r="A99">
        <v>96</v>
      </c>
      <c r="B99" s="9">
        <v>59.57</v>
      </c>
      <c r="C99">
        <v>29.32</v>
      </c>
      <c r="D99">
        <v>0.69863013698630849</v>
      </c>
      <c r="G99" s="5"/>
    </row>
    <row r="100" spans="1:7" x14ac:dyDescent="0.2">
      <c r="A100">
        <v>97</v>
      </c>
      <c r="B100" s="9">
        <v>59.96</v>
      </c>
      <c r="C100">
        <v>29.71</v>
      </c>
      <c r="D100">
        <v>0.80136986301370006</v>
      </c>
      <c r="G100" s="5"/>
    </row>
    <row r="101" spans="1:7" x14ac:dyDescent="0.2">
      <c r="A101">
        <v>98</v>
      </c>
      <c r="B101" s="9">
        <v>60.29</v>
      </c>
      <c r="C101">
        <v>30.04</v>
      </c>
      <c r="D101">
        <v>0.67808219178081852</v>
      </c>
      <c r="G101" s="5"/>
    </row>
    <row r="102" spans="1:7" x14ac:dyDescent="0.2">
      <c r="A102">
        <v>99</v>
      </c>
      <c r="B102" s="9">
        <v>60.52</v>
      </c>
      <c r="C102">
        <v>30.270000000000003</v>
      </c>
      <c r="D102">
        <v>0.47260273972603561</v>
      </c>
      <c r="G102" s="5"/>
    </row>
    <row r="103" spans="1:7" x14ac:dyDescent="0.2">
      <c r="A103">
        <v>100</v>
      </c>
      <c r="B103" s="9">
        <v>60.89</v>
      </c>
      <c r="C103">
        <v>30.64</v>
      </c>
      <c r="D103">
        <v>0.76027397260273466</v>
      </c>
      <c r="G103" s="5"/>
    </row>
    <row r="104" spans="1:7" x14ac:dyDescent="0.2">
      <c r="A104">
        <v>101</v>
      </c>
      <c r="B104" s="9">
        <v>61.14</v>
      </c>
      <c r="C104">
        <v>30.89</v>
      </c>
      <c r="D104">
        <v>0.51369863013698636</v>
      </c>
      <c r="G104" s="5"/>
    </row>
    <row r="105" spans="1:7" x14ac:dyDescent="0.2">
      <c r="A105">
        <v>102</v>
      </c>
      <c r="B105" s="9">
        <v>61.5</v>
      </c>
      <c r="C105">
        <v>31.25</v>
      </c>
      <c r="D105">
        <v>0.73972602739725923</v>
      </c>
      <c r="G105" s="5"/>
    </row>
    <row r="106" spans="1:7" x14ac:dyDescent="0.2">
      <c r="A106">
        <v>103</v>
      </c>
      <c r="B106" s="9">
        <v>61.79</v>
      </c>
      <c r="C106">
        <v>31.54</v>
      </c>
      <c r="D106">
        <v>0.59589041095890249</v>
      </c>
      <c r="G106" s="5"/>
    </row>
    <row r="107" spans="1:7" x14ac:dyDescent="0.2">
      <c r="A107">
        <v>104</v>
      </c>
      <c r="B107" s="9">
        <v>62.11</v>
      </c>
      <c r="C107">
        <v>31.86</v>
      </c>
      <c r="D107">
        <v>0.6575342465753431</v>
      </c>
      <c r="G107" s="5"/>
    </row>
    <row r="108" spans="1:7" x14ac:dyDescent="0.2">
      <c r="A108">
        <v>105</v>
      </c>
      <c r="B108" s="9">
        <v>62.47</v>
      </c>
      <c r="C108">
        <v>32.22</v>
      </c>
      <c r="D108">
        <v>0.73972602739725923</v>
      </c>
    </row>
    <row r="109" spans="1:7" x14ac:dyDescent="0.2">
      <c r="A109">
        <v>106</v>
      </c>
      <c r="B109" s="9">
        <v>62.84</v>
      </c>
      <c r="C109">
        <v>32.590000000000003</v>
      </c>
      <c r="D109">
        <v>0.7602739726027492</v>
      </c>
    </row>
    <row r="110" spans="1:7" x14ac:dyDescent="0.2">
      <c r="A110">
        <v>107</v>
      </c>
      <c r="B110" s="9">
        <v>63.05</v>
      </c>
      <c r="C110">
        <v>32.799999999999997</v>
      </c>
      <c r="D110">
        <v>0.43150684931505567</v>
      </c>
    </row>
    <row r="111" spans="1:7" x14ac:dyDescent="0.2">
      <c r="A111">
        <v>108</v>
      </c>
      <c r="B111" s="9">
        <v>63.35</v>
      </c>
      <c r="C111">
        <v>33.1</v>
      </c>
      <c r="D111">
        <v>0.61643835616439246</v>
      </c>
    </row>
    <row r="112" spans="1:7" x14ac:dyDescent="0.2">
      <c r="A112">
        <v>109</v>
      </c>
      <c r="B112" s="9">
        <v>63.56</v>
      </c>
      <c r="C112">
        <v>33.31</v>
      </c>
      <c r="D112">
        <v>0.43150684931507027</v>
      </c>
    </row>
    <row r="113" spans="1:7" x14ac:dyDescent="0.2">
      <c r="A113">
        <v>110</v>
      </c>
      <c r="B113" s="9">
        <v>63.87</v>
      </c>
      <c r="C113">
        <v>33.619999999999997</v>
      </c>
      <c r="D113">
        <v>0.63698630136985313</v>
      </c>
    </row>
    <row r="114" spans="1:7" x14ac:dyDescent="0.2">
      <c r="A114">
        <v>111</v>
      </c>
      <c r="B114" s="9">
        <v>64.13</v>
      </c>
      <c r="C114">
        <v>33.879999999999995</v>
      </c>
      <c r="D114">
        <v>0.53424657534246178</v>
      </c>
    </row>
    <row r="115" spans="1:7" x14ac:dyDescent="0.2">
      <c r="A115">
        <v>112</v>
      </c>
      <c r="B115" s="9">
        <v>64.47</v>
      </c>
      <c r="C115">
        <v>34.22</v>
      </c>
      <c r="D115">
        <v>0.69863013698630849</v>
      </c>
    </row>
    <row r="116" spans="1:7" x14ac:dyDescent="0.2">
      <c r="A116">
        <v>113</v>
      </c>
      <c r="B116" s="9">
        <v>64.77</v>
      </c>
      <c r="C116">
        <v>34.519999999999996</v>
      </c>
      <c r="D116">
        <v>0.61643835616437781</v>
      </c>
    </row>
    <row r="117" spans="1:7" x14ac:dyDescent="0.2">
      <c r="A117">
        <v>114</v>
      </c>
      <c r="B117" s="9">
        <v>65.13</v>
      </c>
      <c r="C117">
        <v>34.879999999999995</v>
      </c>
      <c r="D117">
        <v>0.73972602739725923</v>
      </c>
    </row>
    <row r="118" spans="1:7" x14ac:dyDescent="0.2">
      <c r="A118">
        <v>115</v>
      </c>
      <c r="B118" s="9">
        <v>65.42</v>
      </c>
      <c r="C118">
        <v>35.17</v>
      </c>
      <c r="D118">
        <v>0.59589041095891704</v>
      </c>
    </row>
    <row r="119" spans="1:7" x14ac:dyDescent="0.2">
      <c r="A119">
        <v>116</v>
      </c>
      <c r="B119" s="9">
        <v>65.75</v>
      </c>
      <c r="C119">
        <v>35.5</v>
      </c>
      <c r="D119">
        <v>0.67808219178081852</v>
      </c>
    </row>
    <row r="120" spans="1:7" x14ac:dyDescent="0.2">
      <c r="A120">
        <v>117</v>
      </c>
      <c r="B120" s="9">
        <v>66.09</v>
      </c>
      <c r="C120">
        <v>35.840000000000003</v>
      </c>
      <c r="D120">
        <v>0.69863013698630849</v>
      </c>
    </row>
    <row r="121" spans="1:7" x14ac:dyDescent="0.2">
      <c r="A121">
        <v>118</v>
      </c>
      <c r="B121" s="9">
        <v>66.400000000000006</v>
      </c>
      <c r="C121">
        <v>36.150000000000006</v>
      </c>
      <c r="D121">
        <v>0.63698630136986778</v>
      </c>
    </row>
    <row r="122" spans="1:7" x14ac:dyDescent="0.2">
      <c r="A122">
        <v>119</v>
      </c>
      <c r="B122" s="9">
        <v>66.75</v>
      </c>
      <c r="C122">
        <v>36.5</v>
      </c>
      <c r="D122">
        <v>0.71917808219176926</v>
      </c>
    </row>
    <row r="123" spans="1:7" x14ac:dyDescent="0.2">
      <c r="A123">
        <v>120</v>
      </c>
      <c r="B123" s="9">
        <v>67.08</v>
      </c>
      <c r="C123">
        <v>36.83</v>
      </c>
      <c r="D123">
        <v>0.67808219178081852</v>
      </c>
      <c r="E123" s="9">
        <v>0.59899999999999998</v>
      </c>
      <c r="F123">
        <v>4.5226999999869316E-3</v>
      </c>
      <c r="G123">
        <v>0.86697941176509019</v>
      </c>
    </row>
    <row r="124" spans="1:7" x14ac:dyDescent="0.2">
      <c r="A124">
        <v>121</v>
      </c>
      <c r="B124" s="9">
        <v>48.85</v>
      </c>
      <c r="C124">
        <v>36.93</v>
      </c>
      <c r="D124">
        <v>0.20547945205479748</v>
      </c>
    </row>
    <row r="125" spans="1:7" x14ac:dyDescent="0.2">
      <c r="A125">
        <v>122</v>
      </c>
      <c r="B125" s="9">
        <v>49.16</v>
      </c>
      <c r="C125">
        <v>37.239999999999995</v>
      </c>
      <c r="D125">
        <v>0.63698630136985313</v>
      </c>
    </row>
    <row r="126" spans="1:7" x14ac:dyDescent="0.2">
      <c r="A126">
        <v>123</v>
      </c>
      <c r="B126" s="9">
        <v>49.45</v>
      </c>
      <c r="C126">
        <v>37.53</v>
      </c>
      <c r="D126">
        <v>0.59589041095891704</v>
      </c>
    </row>
    <row r="127" spans="1:7" x14ac:dyDescent="0.2">
      <c r="A127">
        <v>124</v>
      </c>
      <c r="B127" s="9">
        <v>49.79</v>
      </c>
      <c r="C127">
        <v>37.869999999999997</v>
      </c>
      <c r="D127">
        <v>0.69863013698629395</v>
      </c>
    </row>
    <row r="128" spans="1:7" x14ac:dyDescent="0.2">
      <c r="A128">
        <v>125</v>
      </c>
      <c r="B128" s="9">
        <v>50.13</v>
      </c>
      <c r="C128">
        <v>38.21</v>
      </c>
      <c r="D128">
        <v>0.69863013698630849</v>
      </c>
    </row>
    <row r="129" spans="1:4" x14ac:dyDescent="0.2">
      <c r="A129">
        <v>126</v>
      </c>
      <c r="B129" s="9">
        <v>50.38</v>
      </c>
      <c r="C129">
        <v>38.46</v>
      </c>
      <c r="D129">
        <v>0.51369863013698636</v>
      </c>
    </row>
    <row r="130" spans="1:4" x14ac:dyDescent="0.2">
      <c r="A130">
        <v>127</v>
      </c>
      <c r="B130" s="9">
        <v>50.73</v>
      </c>
      <c r="C130">
        <v>38.809999999999995</v>
      </c>
      <c r="D130">
        <v>0.71917808219176926</v>
      </c>
    </row>
    <row r="131" spans="1:4" x14ac:dyDescent="0.2">
      <c r="A131">
        <v>128</v>
      </c>
      <c r="B131" s="9">
        <v>51.02</v>
      </c>
      <c r="C131">
        <v>39.1</v>
      </c>
      <c r="D131">
        <v>0.59589041095891704</v>
      </c>
    </row>
    <row r="132" spans="1:4" x14ac:dyDescent="0.2">
      <c r="A132">
        <v>129</v>
      </c>
      <c r="B132" s="9">
        <v>51.38</v>
      </c>
      <c r="C132">
        <v>39.46</v>
      </c>
      <c r="D132">
        <v>0.73972602739725923</v>
      </c>
    </row>
    <row r="133" spans="1:4" x14ac:dyDescent="0.2">
      <c r="A133">
        <v>130</v>
      </c>
      <c r="B133" s="9">
        <v>51.71</v>
      </c>
      <c r="C133">
        <v>39.79</v>
      </c>
      <c r="D133">
        <v>0.67808219178081852</v>
      </c>
    </row>
    <row r="134" spans="1:4" x14ac:dyDescent="0.2">
      <c r="A134">
        <v>131</v>
      </c>
      <c r="B134" s="9">
        <v>52.03</v>
      </c>
      <c r="C134">
        <v>40.11</v>
      </c>
      <c r="D134">
        <v>0.6575342465753431</v>
      </c>
    </row>
    <row r="135" spans="1:4" x14ac:dyDescent="0.2">
      <c r="A135">
        <v>132</v>
      </c>
      <c r="B135" s="9">
        <v>52.33</v>
      </c>
      <c r="C135">
        <v>40.409999999999997</v>
      </c>
      <c r="D135">
        <v>0.61643835616437781</v>
      </c>
    </row>
    <row r="136" spans="1:4" x14ac:dyDescent="0.2">
      <c r="A136">
        <v>133</v>
      </c>
      <c r="B136" s="9">
        <v>52.62</v>
      </c>
      <c r="C136">
        <v>40.699999999999996</v>
      </c>
      <c r="D136">
        <v>0.59589041095890249</v>
      </c>
    </row>
    <row r="137" spans="1:4" x14ac:dyDescent="0.2">
      <c r="A137">
        <v>134</v>
      </c>
      <c r="B137" s="9">
        <v>52.98</v>
      </c>
      <c r="C137">
        <v>41.059999999999995</v>
      </c>
      <c r="D137">
        <v>0.73972602739725923</v>
      </c>
    </row>
    <row r="138" spans="1:4" x14ac:dyDescent="0.2">
      <c r="A138">
        <v>135</v>
      </c>
      <c r="B138" s="9">
        <v>53.25</v>
      </c>
      <c r="C138">
        <v>41.33</v>
      </c>
      <c r="D138">
        <v>0.55479452054795175</v>
      </c>
    </row>
    <row r="139" spans="1:4" x14ac:dyDescent="0.2">
      <c r="A139">
        <v>136</v>
      </c>
      <c r="B139" s="9">
        <v>53.63</v>
      </c>
      <c r="C139">
        <v>41.71</v>
      </c>
      <c r="D139">
        <v>0.78082191780822463</v>
      </c>
    </row>
    <row r="140" spans="1:4" x14ac:dyDescent="0.2">
      <c r="A140">
        <v>137</v>
      </c>
      <c r="B140" s="9">
        <v>53.81</v>
      </c>
      <c r="C140">
        <v>41.89</v>
      </c>
      <c r="D140">
        <v>0.36986301369862962</v>
      </c>
    </row>
    <row r="141" spans="1:4" x14ac:dyDescent="0.2">
      <c r="A141">
        <v>138</v>
      </c>
      <c r="B141" s="9">
        <v>54.05</v>
      </c>
      <c r="C141">
        <v>42.129999999999995</v>
      </c>
      <c r="D141">
        <v>0.49315068493149639</v>
      </c>
    </row>
    <row r="142" spans="1:4" x14ac:dyDescent="0.2">
      <c r="A142">
        <v>139</v>
      </c>
      <c r="B142" s="9">
        <v>54.35</v>
      </c>
      <c r="C142">
        <v>42.43</v>
      </c>
      <c r="D142">
        <v>0.61643835616439246</v>
      </c>
    </row>
    <row r="143" spans="1:4" x14ac:dyDescent="0.2">
      <c r="A143">
        <v>140</v>
      </c>
      <c r="B143" s="9">
        <v>54.67</v>
      </c>
      <c r="C143">
        <v>42.75</v>
      </c>
      <c r="D143">
        <v>0.6575342465753431</v>
      </c>
    </row>
    <row r="144" spans="1:4" x14ac:dyDescent="0.2">
      <c r="A144">
        <v>141</v>
      </c>
      <c r="B144" s="9">
        <v>54.94</v>
      </c>
      <c r="C144">
        <v>43.019999999999996</v>
      </c>
      <c r="D144">
        <v>0.55479452054793721</v>
      </c>
    </row>
    <row r="145" spans="1:5" x14ac:dyDescent="0.2">
      <c r="A145">
        <v>142</v>
      </c>
      <c r="B145" s="9">
        <v>55.32</v>
      </c>
      <c r="C145">
        <v>43.4</v>
      </c>
      <c r="D145">
        <v>0.78082191780822463</v>
      </c>
    </row>
    <row r="146" spans="1:5" x14ac:dyDescent="0.2">
      <c r="A146">
        <v>143</v>
      </c>
      <c r="B146" s="9">
        <v>55.67</v>
      </c>
      <c r="C146">
        <v>43.75</v>
      </c>
      <c r="D146">
        <v>0.71917808219178381</v>
      </c>
    </row>
    <row r="147" spans="1:5" x14ac:dyDescent="0.2">
      <c r="A147">
        <v>144</v>
      </c>
      <c r="B147" s="9">
        <v>55.96</v>
      </c>
      <c r="C147">
        <v>44.04</v>
      </c>
      <c r="D147">
        <v>0.59589041095890249</v>
      </c>
    </row>
    <row r="148" spans="1:5" x14ac:dyDescent="0.2">
      <c r="A148">
        <v>145</v>
      </c>
      <c r="B148" s="9">
        <v>56.34</v>
      </c>
      <c r="C148">
        <v>44.42</v>
      </c>
      <c r="D148">
        <v>0.78082191780822463</v>
      </c>
    </row>
    <row r="149" spans="1:5" x14ac:dyDescent="0.2">
      <c r="A149">
        <v>146</v>
      </c>
      <c r="B149" s="9">
        <v>56.69</v>
      </c>
      <c r="C149">
        <v>44.769999999999996</v>
      </c>
      <c r="D149">
        <v>0.71917808219176926</v>
      </c>
    </row>
    <row r="150" spans="1:5" x14ac:dyDescent="0.2">
      <c r="A150">
        <v>147</v>
      </c>
      <c r="B150" s="9">
        <v>56.88</v>
      </c>
      <c r="C150">
        <v>44.96</v>
      </c>
      <c r="D150">
        <v>0.39041095890411959</v>
      </c>
    </row>
    <row r="151" spans="1:5" x14ac:dyDescent="0.2">
      <c r="A151">
        <v>148</v>
      </c>
      <c r="B151" s="9">
        <v>57.25</v>
      </c>
      <c r="C151">
        <v>45.33</v>
      </c>
      <c r="D151">
        <v>0.76027397260273466</v>
      </c>
    </row>
    <row r="152" spans="1:5" x14ac:dyDescent="0.2">
      <c r="A152">
        <v>149</v>
      </c>
      <c r="B152" s="9">
        <v>57.6</v>
      </c>
      <c r="C152">
        <v>45.68</v>
      </c>
      <c r="D152">
        <v>0.71917808219178381</v>
      </c>
    </row>
    <row r="153" spans="1:5" x14ac:dyDescent="0.2">
      <c r="A153">
        <v>150</v>
      </c>
      <c r="B153" s="9">
        <v>57.81</v>
      </c>
      <c r="C153">
        <v>45.89</v>
      </c>
      <c r="D153">
        <v>0.43150684931507027</v>
      </c>
      <c r="E153" s="11"/>
    </row>
    <row r="154" spans="1:5" x14ac:dyDescent="0.2">
      <c r="A154">
        <v>151</v>
      </c>
      <c r="B154" s="9">
        <v>58.07</v>
      </c>
      <c r="C154">
        <v>46.15</v>
      </c>
      <c r="D154">
        <v>0.53424657534246178</v>
      </c>
    </row>
    <row r="155" spans="1:5" x14ac:dyDescent="0.2">
      <c r="A155">
        <v>152</v>
      </c>
      <c r="B155" s="9">
        <v>58.35</v>
      </c>
      <c r="C155">
        <v>46.43</v>
      </c>
      <c r="D155">
        <v>0.57534246575342718</v>
      </c>
    </row>
    <row r="156" spans="1:5" x14ac:dyDescent="0.2">
      <c r="A156">
        <v>153</v>
      </c>
      <c r="B156" s="9">
        <v>58.62</v>
      </c>
      <c r="C156">
        <v>46.699999999999996</v>
      </c>
      <c r="D156">
        <v>0.55479452054793721</v>
      </c>
    </row>
    <row r="157" spans="1:5" x14ac:dyDescent="0.2">
      <c r="A157">
        <v>154</v>
      </c>
      <c r="B157" s="9">
        <v>58.99</v>
      </c>
      <c r="C157">
        <v>47.07</v>
      </c>
      <c r="D157">
        <v>0.7602739726027492</v>
      </c>
    </row>
    <row r="158" spans="1:5" x14ac:dyDescent="0.2">
      <c r="A158">
        <v>155</v>
      </c>
      <c r="B158" s="9">
        <v>59.29</v>
      </c>
      <c r="C158">
        <v>47.37</v>
      </c>
      <c r="D158">
        <v>0.61643835616437781</v>
      </c>
    </row>
    <row r="159" spans="1:5" x14ac:dyDescent="0.2">
      <c r="A159">
        <v>156</v>
      </c>
      <c r="B159" s="9">
        <v>59.64</v>
      </c>
      <c r="C159">
        <v>47.72</v>
      </c>
      <c r="D159">
        <v>0.71917808219178381</v>
      </c>
    </row>
    <row r="160" spans="1:5" x14ac:dyDescent="0.2">
      <c r="A160">
        <v>157</v>
      </c>
      <c r="B160" s="9">
        <v>60.02</v>
      </c>
      <c r="C160">
        <v>48.1</v>
      </c>
      <c r="D160">
        <v>0.78082191780822463</v>
      </c>
    </row>
    <row r="161" spans="1:4" x14ac:dyDescent="0.2">
      <c r="A161">
        <v>158</v>
      </c>
      <c r="B161" s="9">
        <v>60.23</v>
      </c>
      <c r="C161">
        <v>48.309999999999995</v>
      </c>
      <c r="D161">
        <v>0.43150684931505567</v>
      </c>
    </row>
    <row r="162" spans="1:4" x14ac:dyDescent="0.2">
      <c r="A162">
        <v>159</v>
      </c>
      <c r="B162" s="9">
        <v>60.61</v>
      </c>
      <c r="C162">
        <v>48.69</v>
      </c>
      <c r="D162">
        <v>0.78082191780822463</v>
      </c>
    </row>
    <row r="163" spans="1:4" x14ac:dyDescent="0.2">
      <c r="A163">
        <v>160</v>
      </c>
      <c r="B163" s="9">
        <v>60.99</v>
      </c>
      <c r="C163">
        <v>49.07</v>
      </c>
      <c r="D163">
        <v>0.78082191780822463</v>
      </c>
    </row>
    <row r="164" spans="1:4" x14ac:dyDescent="0.2">
      <c r="A164">
        <v>161</v>
      </c>
      <c r="B164" s="9">
        <v>61.18</v>
      </c>
      <c r="C164">
        <v>49.26</v>
      </c>
      <c r="D164">
        <v>0.39041095890410499</v>
      </c>
    </row>
    <row r="165" spans="1:4" x14ac:dyDescent="0.2">
      <c r="A165">
        <v>162</v>
      </c>
      <c r="B165" s="9">
        <v>61.41</v>
      </c>
      <c r="C165">
        <v>49.489999999999995</v>
      </c>
      <c r="D165">
        <v>0.47260273972602107</v>
      </c>
    </row>
    <row r="166" spans="1:4" x14ac:dyDescent="0.2">
      <c r="A166">
        <v>163</v>
      </c>
      <c r="B166" s="9">
        <v>61.66</v>
      </c>
      <c r="C166">
        <v>49.739999999999995</v>
      </c>
      <c r="D166">
        <v>0.51369863013698636</v>
      </c>
    </row>
    <row r="167" spans="1:4" x14ac:dyDescent="0.2">
      <c r="A167">
        <v>164</v>
      </c>
      <c r="B167" s="9">
        <v>62</v>
      </c>
      <c r="C167">
        <v>50.08</v>
      </c>
      <c r="D167">
        <v>0.69863013698630849</v>
      </c>
    </row>
    <row r="168" spans="1:4" x14ac:dyDescent="0.2">
      <c r="A168">
        <v>165</v>
      </c>
      <c r="B168" s="9">
        <v>62.39</v>
      </c>
      <c r="C168">
        <v>50.47</v>
      </c>
      <c r="D168">
        <v>0.80136986301370006</v>
      </c>
    </row>
    <row r="169" spans="1:4" x14ac:dyDescent="0.2">
      <c r="A169">
        <v>166</v>
      </c>
      <c r="B169" s="9">
        <v>62.63</v>
      </c>
      <c r="C169">
        <v>50.71</v>
      </c>
      <c r="D169">
        <v>0.49315068493151104</v>
      </c>
    </row>
    <row r="170" spans="1:4" x14ac:dyDescent="0.2">
      <c r="A170">
        <v>167</v>
      </c>
      <c r="B170" s="9">
        <v>63</v>
      </c>
      <c r="C170">
        <v>51.08</v>
      </c>
      <c r="D170">
        <v>0.76027397260273466</v>
      </c>
    </row>
    <row r="171" spans="1:4" x14ac:dyDescent="0.2">
      <c r="A171">
        <v>168</v>
      </c>
      <c r="B171" s="9">
        <v>63.34</v>
      </c>
      <c r="C171">
        <v>51.42</v>
      </c>
      <c r="D171">
        <v>0.69863013698630849</v>
      </c>
    </row>
    <row r="172" spans="1:4" x14ac:dyDescent="0.2">
      <c r="A172">
        <v>169</v>
      </c>
      <c r="B172" s="9">
        <v>63.71</v>
      </c>
      <c r="C172">
        <v>51.79</v>
      </c>
      <c r="D172">
        <v>0.76027397260273466</v>
      </c>
    </row>
    <row r="173" spans="1:4" x14ac:dyDescent="0.2">
      <c r="A173">
        <v>170</v>
      </c>
      <c r="B173" s="9">
        <v>64</v>
      </c>
      <c r="C173">
        <v>52.08</v>
      </c>
      <c r="D173">
        <v>0.59589041095890249</v>
      </c>
    </row>
    <row r="174" spans="1:4" x14ac:dyDescent="0.2">
      <c r="A174">
        <v>171</v>
      </c>
      <c r="B174" s="9">
        <v>64.290000000000006</v>
      </c>
      <c r="C174">
        <v>52.370000000000005</v>
      </c>
      <c r="D174">
        <v>0.59589041095891704</v>
      </c>
    </row>
    <row r="175" spans="1:4" x14ac:dyDescent="0.2">
      <c r="A175">
        <v>172</v>
      </c>
      <c r="B175" s="9">
        <v>64.489999999999995</v>
      </c>
      <c r="C175">
        <v>52.569999999999993</v>
      </c>
      <c r="D175">
        <v>0.4109589041095657</v>
      </c>
    </row>
    <row r="176" spans="1:4" x14ac:dyDescent="0.2">
      <c r="A176">
        <v>173</v>
      </c>
      <c r="B176" s="9">
        <v>64.819999999999993</v>
      </c>
      <c r="C176">
        <v>52.899999999999991</v>
      </c>
      <c r="D176">
        <v>0.67808219178081852</v>
      </c>
    </row>
    <row r="177" spans="1:4" x14ac:dyDescent="0.2">
      <c r="A177">
        <v>174</v>
      </c>
      <c r="B177" s="9">
        <v>65.06</v>
      </c>
      <c r="C177">
        <v>53.14</v>
      </c>
      <c r="D177">
        <v>0.49315068493152558</v>
      </c>
    </row>
    <row r="178" spans="1:4" x14ac:dyDescent="0.2">
      <c r="A178">
        <v>175</v>
      </c>
      <c r="B178" s="9">
        <v>65.34</v>
      </c>
      <c r="C178">
        <v>53.42</v>
      </c>
      <c r="D178">
        <v>0.57534246575342718</v>
      </c>
    </row>
    <row r="179" spans="1:4" x14ac:dyDescent="0.2">
      <c r="A179">
        <v>176</v>
      </c>
      <c r="B179" s="9">
        <v>65.680000000000007</v>
      </c>
      <c r="C179">
        <v>53.760000000000005</v>
      </c>
      <c r="D179">
        <v>0.69863013698630849</v>
      </c>
    </row>
    <row r="180" spans="1:4" x14ac:dyDescent="0.2">
      <c r="A180">
        <v>177</v>
      </c>
      <c r="B180" s="9">
        <v>66.02</v>
      </c>
      <c r="C180">
        <v>54.099999999999994</v>
      </c>
      <c r="D180">
        <v>0.69863013698627918</v>
      </c>
    </row>
    <row r="181" spans="1:4" x14ac:dyDescent="0.2">
      <c r="A181">
        <v>178</v>
      </c>
      <c r="B181" s="9">
        <v>66.36</v>
      </c>
      <c r="C181">
        <v>54.44</v>
      </c>
      <c r="D181">
        <v>0.69863013698630849</v>
      </c>
    </row>
    <row r="182" spans="1:4" x14ac:dyDescent="0.2">
      <c r="A182">
        <v>179</v>
      </c>
      <c r="B182" s="9">
        <v>66.75</v>
      </c>
      <c r="C182">
        <v>54.83</v>
      </c>
      <c r="D182">
        <v>0.80136986301370006</v>
      </c>
    </row>
    <row r="183" spans="1:4" x14ac:dyDescent="0.2">
      <c r="A183">
        <v>180</v>
      </c>
      <c r="B183" s="9">
        <v>66.98</v>
      </c>
      <c r="C183">
        <v>55.06</v>
      </c>
      <c r="D183">
        <v>0.47260273972603561</v>
      </c>
    </row>
    <row r="184" spans="1:4" x14ac:dyDescent="0.2">
      <c r="A184">
        <v>181</v>
      </c>
      <c r="B184" s="9">
        <v>67.150000000000006</v>
      </c>
      <c r="C184">
        <v>55.230000000000004</v>
      </c>
      <c r="D184">
        <v>0.34931506849315425</v>
      </c>
    </row>
    <row r="185" spans="1:4" x14ac:dyDescent="0.2">
      <c r="A185">
        <v>182</v>
      </c>
      <c r="B185" s="9">
        <v>67.48</v>
      </c>
      <c r="C185">
        <v>55.56</v>
      </c>
      <c r="D185">
        <v>0.67808219178081852</v>
      </c>
    </row>
    <row r="186" spans="1:4" x14ac:dyDescent="0.2">
      <c r="A186">
        <v>183</v>
      </c>
      <c r="B186" s="9">
        <v>67.78</v>
      </c>
      <c r="C186">
        <v>55.86</v>
      </c>
      <c r="D186">
        <v>0.61643835616437781</v>
      </c>
    </row>
    <row r="187" spans="1:4" x14ac:dyDescent="0.2">
      <c r="A187">
        <v>184</v>
      </c>
      <c r="B187" s="9">
        <v>68.16</v>
      </c>
      <c r="C187">
        <v>56.239999999999995</v>
      </c>
      <c r="D187">
        <v>0.78082191780820998</v>
      </c>
    </row>
    <row r="188" spans="1:4" x14ac:dyDescent="0.2">
      <c r="A188">
        <v>185</v>
      </c>
      <c r="B188" s="9">
        <v>68.48</v>
      </c>
      <c r="C188">
        <v>56.56</v>
      </c>
      <c r="D188">
        <v>0.65753424657535775</v>
      </c>
    </row>
    <row r="189" spans="1:4" x14ac:dyDescent="0.2">
      <c r="A189">
        <v>186</v>
      </c>
      <c r="B189" s="9">
        <v>68.739999999999995</v>
      </c>
      <c r="C189">
        <v>56.819999999999993</v>
      </c>
      <c r="D189">
        <v>0.53424657534244724</v>
      </c>
    </row>
    <row r="190" spans="1:4" x14ac:dyDescent="0.2">
      <c r="A190">
        <v>187</v>
      </c>
      <c r="B190" s="9">
        <v>69.11</v>
      </c>
      <c r="C190">
        <v>57.19</v>
      </c>
      <c r="D190">
        <v>0.7602739726027492</v>
      </c>
    </row>
    <row r="191" spans="1:4" x14ac:dyDescent="0.2">
      <c r="A191">
        <v>188</v>
      </c>
      <c r="B191" s="9">
        <v>69.42</v>
      </c>
      <c r="C191">
        <v>57.5</v>
      </c>
      <c r="D191">
        <v>0.63698630136986778</v>
      </c>
    </row>
    <row r="192" spans="1:4" x14ac:dyDescent="0.2">
      <c r="A192">
        <v>189</v>
      </c>
      <c r="B192" s="9">
        <v>69.72</v>
      </c>
      <c r="C192">
        <v>57.8</v>
      </c>
      <c r="D192">
        <v>0.61643835616437781</v>
      </c>
    </row>
    <row r="193" spans="1:4" x14ac:dyDescent="0.2">
      <c r="A193">
        <v>190</v>
      </c>
      <c r="B193" s="9">
        <v>70.02</v>
      </c>
      <c r="C193">
        <v>58.099999999999994</v>
      </c>
      <c r="D193">
        <v>0.61643835616437781</v>
      </c>
    </row>
    <row r="194" spans="1:4" x14ac:dyDescent="0.2">
      <c r="A194">
        <v>191</v>
      </c>
      <c r="B194" s="9">
        <v>70.349999999999994</v>
      </c>
      <c r="C194">
        <v>58.429999999999993</v>
      </c>
      <c r="D194">
        <v>0.67808219178081852</v>
      </c>
    </row>
    <row r="195" spans="1:4" x14ac:dyDescent="0.2">
      <c r="A195">
        <v>192</v>
      </c>
      <c r="B195" s="9">
        <v>70.52</v>
      </c>
      <c r="C195">
        <v>58.599999999999994</v>
      </c>
      <c r="D195">
        <v>0.34931506849315425</v>
      </c>
    </row>
    <row r="196" spans="1:4" x14ac:dyDescent="0.2">
      <c r="A196">
        <v>193</v>
      </c>
      <c r="B196" s="9">
        <v>70.69</v>
      </c>
      <c r="C196">
        <v>58.769999999999996</v>
      </c>
      <c r="D196">
        <v>0.34931506849315425</v>
      </c>
    </row>
    <row r="197" spans="1:4" x14ac:dyDescent="0.2">
      <c r="A197">
        <v>194</v>
      </c>
      <c r="B197" s="9">
        <v>70.989999999999995</v>
      </c>
      <c r="C197">
        <v>59.069999999999993</v>
      </c>
      <c r="D197">
        <v>0.61643835616437781</v>
      </c>
    </row>
    <row r="198" spans="1:4" x14ac:dyDescent="0.2">
      <c r="A198">
        <v>195</v>
      </c>
      <c r="B198" s="9">
        <v>71.38</v>
      </c>
      <c r="C198">
        <v>59.459999999999994</v>
      </c>
      <c r="D198">
        <v>0.80136986301370006</v>
      </c>
    </row>
    <row r="199" spans="1:4" x14ac:dyDescent="0.2">
      <c r="A199">
        <v>196</v>
      </c>
      <c r="B199" s="9">
        <v>71.67</v>
      </c>
      <c r="C199">
        <v>59.75</v>
      </c>
      <c r="D199">
        <v>0.59589041095891704</v>
      </c>
    </row>
    <row r="200" spans="1:4" x14ac:dyDescent="0.2">
      <c r="A200">
        <v>197</v>
      </c>
      <c r="B200" s="9">
        <v>71.98</v>
      </c>
      <c r="C200">
        <v>60.06</v>
      </c>
      <c r="D200">
        <v>0.63698630136986778</v>
      </c>
    </row>
    <row r="201" spans="1:4" x14ac:dyDescent="0.2">
      <c r="A201">
        <v>198</v>
      </c>
      <c r="B201" s="9">
        <v>72.290000000000006</v>
      </c>
      <c r="C201">
        <v>60.370000000000005</v>
      </c>
      <c r="D201">
        <v>0.63698630136986778</v>
      </c>
    </row>
    <row r="202" spans="1:4" x14ac:dyDescent="0.2">
      <c r="A202">
        <v>199</v>
      </c>
      <c r="B202" s="9">
        <v>72.680000000000007</v>
      </c>
      <c r="C202">
        <v>60.760000000000005</v>
      </c>
      <c r="D202">
        <v>0.80136986301370006</v>
      </c>
    </row>
    <row r="203" spans="1:4" x14ac:dyDescent="0.2">
      <c r="A203">
        <v>200</v>
      </c>
      <c r="B203" s="9">
        <v>72.97</v>
      </c>
      <c r="C203">
        <v>61.05</v>
      </c>
      <c r="D203">
        <v>0.59589041095888784</v>
      </c>
    </row>
    <row r="204" spans="1:4" x14ac:dyDescent="0.2">
      <c r="A204">
        <v>201</v>
      </c>
      <c r="B204" s="9">
        <v>73.31</v>
      </c>
      <c r="C204">
        <v>61.39</v>
      </c>
      <c r="D204">
        <v>0.69863013698630849</v>
      </c>
    </row>
    <row r="205" spans="1:4" x14ac:dyDescent="0.2">
      <c r="A205">
        <v>202</v>
      </c>
      <c r="B205" s="9">
        <v>73.650000000000006</v>
      </c>
      <c r="C205">
        <v>61.730000000000004</v>
      </c>
      <c r="D205">
        <v>0.69863013698630849</v>
      </c>
    </row>
    <row r="206" spans="1:4" x14ac:dyDescent="0.2">
      <c r="A206">
        <v>203</v>
      </c>
      <c r="B206" s="9">
        <v>73.86</v>
      </c>
      <c r="C206">
        <v>61.94</v>
      </c>
      <c r="D206">
        <v>0.43150684931505567</v>
      </c>
    </row>
    <row r="207" spans="1:4" x14ac:dyDescent="0.2">
      <c r="A207">
        <v>204</v>
      </c>
      <c r="B207" s="9">
        <v>74.22</v>
      </c>
      <c r="C207">
        <v>62.3</v>
      </c>
      <c r="D207">
        <v>0.73972602739725923</v>
      </c>
    </row>
    <row r="208" spans="1:4" x14ac:dyDescent="0.2">
      <c r="A208">
        <v>205</v>
      </c>
      <c r="B208" s="9">
        <v>74.569999999999993</v>
      </c>
      <c r="C208">
        <v>62.649999999999991</v>
      </c>
      <c r="D208">
        <v>0.71917808219176926</v>
      </c>
    </row>
    <row r="209" spans="1:4" x14ac:dyDescent="0.2">
      <c r="A209">
        <v>206</v>
      </c>
      <c r="B209" s="9">
        <v>74.73</v>
      </c>
      <c r="C209">
        <v>62.81</v>
      </c>
      <c r="D209">
        <v>0.32876712328769347</v>
      </c>
    </row>
    <row r="210" spans="1:4" x14ac:dyDescent="0.2">
      <c r="A210">
        <v>207</v>
      </c>
      <c r="B210" s="9">
        <v>75</v>
      </c>
      <c r="C210">
        <v>63.08</v>
      </c>
      <c r="D210">
        <v>0.55479452054793721</v>
      </c>
    </row>
    <row r="211" spans="1:4" x14ac:dyDescent="0.2">
      <c r="A211">
        <v>208</v>
      </c>
      <c r="B211" s="9">
        <v>75.37</v>
      </c>
      <c r="C211">
        <v>63.45</v>
      </c>
      <c r="D211">
        <v>0.7602739726027492</v>
      </c>
    </row>
    <row r="212" spans="1:4" x14ac:dyDescent="0.2">
      <c r="A212">
        <v>209</v>
      </c>
      <c r="B212" s="9">
        <v>75.709999999999994</v>
      </c>
      <c r="C212">
        <v>63.789999999999992</v>
      </c>
      <c r="D212">
        <v>0.69863013698627918</v>
      </c>
    </row>
    <row r="213" spans="1:4" x14ac:dyDescent="0.2">
      <c r="A213">
        <v>210</v>
      </c>
      <c r="B213" s="9">
        <v>75.98</v>
      </c>
      <c r="C213">
        <v>64.06</v>
      </c>
      <c r="D213">
        <v>0.55479452054796641</v>
      </c>
    </row>
    <row r="214" spans="1:4" x14ac:dyDescent="0.2">
      <c r="A214">
        <v>211</v>
      </c>
      <c r="B214" s="9">
        <v>76.36</v>
      </c>
      <c r="C214">
        <v>64.44</v>
      </c>
      <c r="D214">
        <v>0.78082191780820998</v>
      </c>
    </row>
    <row r="215" spans="1:4" x14ac:dyDescent="0.2">
      <c r="A215">
        <v>212</v>
      </c>
      <c r="B215" s="9">
        <v>76.599999999999994</v>
      </c>
      <c r="C215">
        <v>64.679999999999993</v>
      </c>
      <c r="D215">
        <v>0.49315068493149639</v>
      </c>
    </row>
    <row r="216" spans="1:4" x14ac:dyDescent="0.2">
      <c r="A216">
        <v>213</v>
      </c>
      <c r="B216" s="9">
        <v>76.930000000000007</v>
      </c>
      <c r="C216">
        <v>65.010000000000005</v>
      </c>
      <c r="D216">
        <v>0.67808219178084772</v>
      </c>
    </row>
    <row r="217" spans="1:4" x14ac:dyDescent="0.2">
      <c r="A217">
        <v>214</v>
      </c>
      <c r="B217" s="9">
        <v>77.16</v>
      </c>
      <c r="C217">
        <v>65.239999999999995</v>
      </c>
      <c r="D217">
        <v>0.47260273972600642</v>
      </c>
    </row>
    <row r="218" spans="1:4" x14ac:dyDescent="0.2">
      <c r="A218">
        <v>215</v>
      </c>
      <c r="B218" s="9">
        <v>77.459999999999994</v>
      </c>
      <c r="C218">
        <v>65.539999999999992</v>
      </c>
      <c r="D218">
        <v>0.61643835616437781</v>
      </c>
    </row>
    <row r="219" spans="1:4" x14ac:dyDescent="0.2">
      <c r="A219">
        <v>216</v>
      </c>
      <c r="B219" s="9">
        <v>77.849999999999994</v>
      </c>
      <c r="C219">
        <v>65.929999999999993</v>
      </c>
      <c r="D219">
        <v>0.80136986301370006</v>
      </c>
    </row>
    <row r="220" spans="1:4" x14ac:dyDescent="0.2">
      <c r="A220">
        <v>217</v>
      </c>
      <c r="B220" s="9">
        <v>78.099999999999994</v>
      </c>
      <c r="C220">
        <v>66.179999999999993</v>
      </c>
      <c r="D220">
        <v>0.51369863013698636</v>
      </c>
    </row>
    <row r="221" spans="1:4" x14ac:dyDescent="0.2">
      <c r="A221">
        <v>218</v>
      </c>
      <c r="B221" s="9">
        <v>78.48</v>
      </c>
      <c r="C221">
        <v>66.56</v>
      </c>
      <c r="D221">
        <v>0.78082191780823917</v>
      </c>
    </row>
    <row r="222" spans="1:4" x14ac:dyDescent="0.2">
      <c r="A222">
        <v>219</v>
      </c>
      <c r="B222" s="9">
        <v>78.81</v>
      </c>
      <c r="C222">
        <v>66.89</v>
      </c>
      <c r="D222">
        <v>0.67808219178081852</v>
      </c>
    </row>
    <row r="223" spans="1:4" x14ac:dyDescent="0.2">
      <c r="A223">
        <v>220</v>
      </c>
      <c r="B223" s="9">
        <v>79.06</v>
      </c>
      <c r="C223">
        <v>67.14</v>
      </c>
      <c r="D223">
        <v>0.51369863013698636</v>
      </c>
    </row>
    <row r="224" spans="1:4" x14ac:dyDescent="0.2">
      <c r="A224">
        <v>221</v>
      </c>
      <c r="B224" s="9">
        <v>79.239999999999995</v>
      </c>
      <c r="C224">
        <v>67.319999999999993</v>
      </c>
      <c r="D224">
        <v>0.36986301369861502</v>
      </c>
    </row>
    <row r="225" spans="1:4" x14ac:dyDescent="0.2">
      <c r="A225">
        <v>222</v>
      </c>
      <c r="B225" s="9">
        <v>79.53</v>
      </c>
      <c r="C225">
        <v>67.61</v>
      </c>
      <c r="D225">
        <v>0.59589041095891704</v>
      </c>
    </row>
    <row r="226" spans="1:4" x14ac:dyDescent="0.2">
      <c r="A226">
        <v>223</v>
      </c>
      <c r="B226" s="9">
        <v>79.92</v>
      </c>
      <c r="C226">
        <v>68</v>
      </c>
      <c r="D226">
        <v>0.80136986301370006</v>
      </c>
    </row>
    <row r="227" spans="1:4" x14ac:dyDescent="0.2">
      <c r="A227">
        <v>224</v>
      </c>
      <c r="B227" s="9">
        <v>80.260000000000005</v>
      </c>
      <c r="C227">
        <v>68.34</v>
      </c>
      <c r="D227">
        <v>0.69863013698630849</v>
      </c>
    </row>
    <row r="228" spans="1:4" x14ac:dyDescent="0.2">
      <c r="A228">
        <v>225</v>
      </c>
      <c r="B228" s="9">
        <v>80.599999999999994</v>
      </c>
      <c r="C228">
        <v>68.679999999999993</v>
      </c>
      <c r="D228">
        <v>0.69863013698627918</v>
      </c>
    </row>
    <row r="229" spans="1:4" x14ac:dyDescent="0.2">
      <c r="A229">
        <v>226</v>
      </c>
      <c r="B229" s="9">
        <v>80.92</v>
      </c>
      <c r="C229">
        <v>69</v>
      </c>
      <c r="D229">
        <v>0.65753424657535775</v>
      </c>
    </row>
    <row r="230" spans="1:4" x14ac:dyDescent="0.2">
      <c r="A230">
        <v>227</v>
      </c>
      <c r="B230" s="9">
        <v>81.23</v>
      </c>
      <c r="C230">
        <v>69.31</v>
      </c>
      <c r="D230">
        <v>0.63698630136986778</v>
      </c>
    </row>
    <row r="231" spans="1:4" x14ac:dyDescent="0.2">
      <c r="A231">
        <v>228</v>
      </c>
      <c r="B231" s="9">
        <v>81.56</v>
      </c>
      <c r="C231">
        <v>69.64</v>
      </c>
      <c r="D231">
        <v>0.67808219178081852</v>
      </c>
    </row>
    <row r="232" spans="1:4" x14ac:dyDescent="0.2">
      <c r="A232">
        <v>229</v>
      </c>
      <c r="B232" s="9">
        <v>81.75</v>
      </c>
      <c r="C232">
        <v>69.83</v>
      </c>
      <c r="D232">
        <v>0.39041095890410499</v>
      </c>
    </row>
    <row r="233" spans="1:4" x14ac:dyDescent="0.2">
      <c r="A233">
        <v>230</v>
      </c>
      <c r="B233" s="9">
        <v>82.03</v>
      </c>
      <c r="C233">
        <v>70.11</v>
      </c>
      <c r="D233">
        <v>0.57534246575342718</v>
      </c>
    </row>
    <row r="234" spans="1:4" x14ac:dyDescent="0.2">
      <c r="A234">
        <v>231</v>
      </c>
      <c r="B234" s="9">
        <v>82.42</v>
      </c>
      <c r="C234">
        <v>70.5</v>
      </c>
      <c r="D234">
        <v>0.80136986301370006</v>
      </c>
    </row>
    <row r="235" spans="1:4" x14ac:dyDescent="0.2">
      <c r="A235">
        <v>232</v>
      </c>
      <c r="B235" s="9">
        <v>82.76</v>
      </c>
      <c r="C235">
        <v>70.84</v>
      </c>
      <c r="D235">
        <v>0.69863013698630849</v>
      </c>
    </row>
    <row r="236" spans="1:4" x14ac:dyDescent="0.2">
      <c r="A236">
        <v>233</v>
      </c>
      <c r="B236" s="9">
        <v>83.15</v>
      </c>
      <c r="C236">
        <v>71.23</v>
      </c>
      <c r="D236">
        <v>0.80136986301370006</v>
      </c>
    </row>
    <row r="237" spans="1:4" x14ac:dyDescent="0.2">
      <c r="A237">
        <v>234</v>
      </c>
      <c r="B237" s="9">
        <v>83.3</v>
      </c>
      <c r="C237">
        <v>71.38</v>
      </c>
      <c r="D237">
        <v>0.30821917808217431</v>
      </c>
    </row>
    <row r="238" spans="1:4" x14ac:dyDescent="0.2">
      <c r="A238">
        <v>235</v>
      </c>
      <c r="B238" s="9">
        <v>83.68</v>
      </c>
      <c r="C238">
        <v>71.760000000000005</v>
      </c>
      <c r="D238">
        <v>0.78082191780823917</v>
      </c>
    </row>
    <row r="239" spans="1:4" x14ac:dyDescent="0.2">
      <c r="A239">
        <v>236</v>
      </c>
      <c r="B239" s="9">
        <v>83.95</v>
      </c>
      <c r="C239">
        <v>72.03</v>
      </c>
      <c r="D239">
        <v>0.55479452054793721</v>
      </c>
    </row>
    <row r="240" spans="1:4" x14ac:dyDescent="0.2">
      <c r="A240">
        <v>237</v>
      </c>
      <c r="B240" s="9">
        <v>84.24</v>
      </c>
      <c r="C240">
        <v>72.319999999999993</v>
      </c>
      <c r="D240">
        <v>0.59589041095888784</v>
      </c>
    </row>
    <row r="241" spans="1:4" x14ac:dyDescent="0.2">
      <c r="A241">
        <v>238</v>
      </c>
      <c r="B241" s="9">
        <v>84.6</v>
      </c>
      <c r="C241">
        <v>72.679999999999993</v>
      </c>
      <c r="D241">
        <v>0.73972602739725923</v>
      </c>
    </row>
    <row r="242" spans="1:4" x14ac:dyDescent="0.2">
      <c r="A242">
        <v>239</v>
      </c>
      <c r="B242" s="9">
        <v>84.84</v>
      </c>
      <c r="C242">
        <v>72.92</v>
      </c>
      <c r="D242">
        <v>0.49315068493152558</v>
      </c>
    </row>
    <row r="243" spans="1:4" x14ac:dyDescent="0.2">
      <c r="A243">
        <v>240</v>
      </c>
      <c r="B243" s="9">
        <v>85.06</v>
      </c>
      <c r="C243">
        <v>73.14</v>
      </c>
      <c r="D243">
        <v>0.45205479452054564</v>
      </c>
    </row>
    <row r="244" spans="1:4" x14ac:dyDescent="0.2">
      <c r="A244">
        <v>241</v>
      </c>
      <c r="B244" s="9">
        <v>85.33</v>
      </c>
      <c r="C244">
        <v>73.41</v>
      </c>
      <c r="D244">
        <v>0.55479452054793721</v>
      </c>
    </row>
    <row r="245" spans="1:4" x14ac:dyDescent="0.2">
      <c r="A245">
        <v>242</v>
      </c>
      <c r="B245" s="9">
        <v>85.74</v>
      </c>
      <c r="C245">
        <v>73.819999999999993</v>
      </c>
      <c r="D245">
        <v>0.84246575342465069</v>
      </c>
    </row>
    <row r="246" spans="1:4" x14ac:dyDescent="0.2">
      <c r="A246">
        <v>243</v>
      </c>
      <c r="B246" s="9">
        <v>86.1</v>
      </c>
      <c r="C246">
        <v>74.179999999999993</v>
      </c>
      <c r="D246">
        <v>0.73972602739725923</v>
      </c>
    </row>
    <row r="247" spans="1:4" x14ac:dyDescent="0.2">
      <c r="A247">
        <v>244</v>
      </c>
      <c r="B247" s="9">
        <v>86.49</v>
      </c>
      <c r="C247">
        <v>74.569999999999993</v>
      </c>
      <c r="D247">
        <v>0.80136986301370006</v>
      </c>
    </row>
    <row r="248" spans="1:4" x14ac:dyDescent="0.2">
      <c r="A248">
        <v>245</v>
      </c>
      <c r="B248" s="9">
        <v>86.78</v>
      </c>
      <c r="C248">
        <v>74.86</v>
      </c>
      <c r="D248">
        <v>0.59589041095891704</v>
      </c>
    </row>
    <row r="249" spans="1:4" x14ac:dyDescent="0.2">
      <c r="A249">
        <v>246</v>
      </c>
      <c r="B249" s="9">
        <v>87.12</v>
      </c>
      <c r="C249">
        <v>75.2</v>
      </c>
      <c r="D249">
        <v>0.69863013698630849</v>
      </c>
    </row>
    <row r="250" spans="1:4" x14ac:dyDescent="0.2">
      <c r="A250">
        <v>247</v>
      </c>
      <c r="B250" s="9">
        <v>87.25</v>
      </c>
      <c r="C250">
        <v>75.33</v>
      </c>
      <c r="D250">
        <v>0.26712328767122362</v>
      </c>
    </row>
    <row r="251" spans="1:4" x14ac:dyDescent="0.2">
      <c r="A251">
        <v>248</v>
      </c>
      <c r="B251" s="9">
        <v>87.54</v>
      </c>
      <c r="C251">
        <v>75.62</v>
      </c>
      <c r="D251">
        <v>0.59589041095891704</v>
      </c>
    </row>
    <row r="252" spans="1:4" x14ac:dyDescent="0.2">
      <c r="A252">
        <v>249</v>
      </c>
      <c r="B252" s="9">
        <v>87.91</v>
      </c>
      <c r="C252">
        <v>75.989999999999995</v>
      </c>
      <c r="D252">
        <v>0.76027397260272001</v>
      </c>
    </row>
    <row r="253" spans="1:4" x14ac:dyDescent="0.2">
      <c r="A253">
        <v>250</v>
      </c>
      <c r="B253" s="9">
        <v>88.21</v>
      </c>
      <c r="C253">
        <v>76.289999999999992</v>
      </c>
      <c r="D253">
        <v>0.61643835616437781</v>
      </c>
    </row>
    <row r="254" spans="1:4" x14ac:dyDescent="0.2">
      <c r="A254">
        <v>251</v>
      </c>
      <c r="B254" s="9">
        <v>88.5</v>
      </c>
      <c r="C254">
        <v>76.58</v>
      </c>
      <c r="D254">
        <v>0.59589041095891704</v>
      </c>
    </row>
    <row r="255" spans="1:4" x14ac:dyDescent="0.2">
      <c r="A255">
        <v>252</v>
      </c>
      <c r="B255" s="9">
        <v>88.87</v>
      </c>
      <c r="C255">
        <v>76.95</v>
      </c>
      <c r="D255">
        <v>0.7602739726027492</v>
      </c>
    </row>
    <row r="256" spans="1:4" x14ac:dyDescent="0.2">
      <c r="A256">
        <v>253</v>
      </c>
      <c r="B256" s="9">
        <v>89.17</v>
      </c>
      <c r="C256">
        <v>77.25</v>
      </c>
      <c r="D256">
        <v>0.61643835616437781</v>
      </c>
    </row>
    <row r="257" spans="1:4" x14ac:dyDescent="0.2">
      <c r="A257">
        <v>254</v>
      </c>
      <c r="B257" s="9">
        <v>89.5</v>
      </c>
      <c r="C257">
        <v>77.58</v>
      </c>
      <c r="D257">
        <v>0.67808219178081852</v>
      </c>
    </row>
    <row r="258" spans="1:4" x14ac:dyDescent="0.2">
      <c r="A258">
        <v>255</v>
      </c>
      <c r="B258" s="9">
        <v>89.69</v>
      </c>
      <c r="C258">
        <v>77.77</v>
      </c>
      <c r="D258">
        <v>0.39041095890410499</v>
      </c>
    </row>
    <row r="259" spans="1:4" x14ac:dyDescent="0.2">
      <c r="A259">
        <v>256</v>
      </c>
      <c r="B259" s="9">
        <v>90.12</v>
      </c>
      <c r="C259">
        <v>78.2</v>
      </c>
      <c r="D259">
        <v>0.88356164383563063</v>
      </c>
    </row>
    <row r="260" spans="1:4" x14ac:dyDescent="0.2">
      <c r="A260">
        <v>257</v>
      </c>
      <c r="B260" s="9">
        <v>90.45</v>
      </c>
      <c r="C260">
        <v>78.53</v>
      </c>
      <c r="D260">
        <v>0.67808219178081852</v>
      </c>
    </row>
    <row r="261" spans="1:4" x14ac:dyDescent="0.2">
      <c r="A261">
        <v>258</v>
      </c>
      <c r="B261" s="9">
        <v>90.74</v>
      </c>
      <c r="C261">
        <v>78.819999999999993</v>
      </c>
      <c r="D261">
        <v>0.59589041095888784</v>
      </c>
    </row>
    <row r="262" spans="1:4" x14ac:dyDescent="0.2">
      <c r="A262">
        <v>259</v>
      </c>
      <c r="B262" s="9">
        <v>91.03</v>
      </c>
      <c r="C262">
        <v>79.11</v>
      </c>
      <c r="D262">
        <v>0.59589041095891704</v>
      </c>
    </row>
    <row r="263" spans="1:4" x14ac:dyDescent="0.2">
      <c r="A263">
        <v>260</v>
      </c>
      <c r="B263" s="9">
        <v>91.37</v>
      </c>
      <c r="C263">
        <v>79.45</v>
      </c>
      <c r="D263">
        <v>0.69863013698630849</v>
      </c>
    </row>
    <row r="264" spans="1:4" x14ac:dyDescent="0.2">
      <c r="A264">
        <v>261</v>
      </c>
      <c r="B264" s="9">
        <v>91.68</v>
      </c>
      <c r="C264">
        <v>79.760000000000005</v>
      </c>
      <c r="D264">
        <v>0.63698630136986778</v>
      </c>
    </row>
    <row r="265" spans="1:4" x14ac:dyDescent="0.2">
      <c r="A265">
        <v>262</v>
      </c>
      <c r="B265" s="9">
        <v>91.97</v>
      </c>
      <c r="C265">
        <v>80.05</v>
      </c>
      <c r="D265">
        <v>0.59589041095888784</v>
      </c>
    </row>
    <row r="266" spans="1:4" x14ac:dyDescent="0.2">
      <c r="A266">
        <v>263</v>
      </c>
      <c r="B266" s="9">
        <v>92.27</v>
      </c>
      <c r="C266">
        <v>80.349999999999994</v>
      </c>
      <c r="D266">
        <v>0.61643835616437781</v>
      </c>
    </row>
    <row r="267" spans="1:4" x14ac:dyDescent="0.2">
      <c r="A267">
        <v>264</v>
      </c>
      <c r="B267" s="9">
        <v>92.6</v>
      </c>
      <c r="C267">
        <v>80.679999999999993</v>
      </c>
      <c r="D267">
        <v>0.67808219178081852</v>
      </c>
    </row>
    <row r="268" spans="1:4" x14ac:dyDescent="0.2">
      <c r="A268">
        <v>265</v>
      </c>
      <c r="B268" s="9">
        <v>92.89</v>
      </c>
      <c r="C268">
        <v>80.97</v>
      </c>
      <c r="D268">
        <v>0.59589041095891704</v>
      </c>
    </row>
    <row r="269" spans="1:4" x14ac:dyDescent="0.2">
      <c r="A269">
        <v>266</v>
      </c>
      <c r="B269" s="9">
        <v>93.2</v>
      </c>
      <c r="C269">
        <v>81.28</v>
      </c>
      <c r="D269">
        <v>0.63698630136986778</v>
      </c>
    </row>
    <row r="270" spans="1:4" x14ac:dyDescent="0.2">
      <c r="A270">
        <v>267</v>
      </c>
      <c r="B270" s="9">
        <v>93.45</v>
      </c>
      <c r="C270">
        <v>81.53</v>
      </c>
      <c r="D270">
        <v>0.51369863013698636</v>
      </c>
    </row>
    <row r="271" spans="1:4" x14ac:dyDescent="0.2">
      <c r="A271">
        <v>268</v>
      </c>
      <c r="B271" s="9">
        <v>93.8</v>
      </c>
      <c r="C271">
        <v>81.88</v>
      </c>
      <c r="D271">
        <v>0.71917808219176926</v>
      </c>
    </row>
    <row r="272" spans="1:4" x14ac:dyDescent="0.2">
      <c r="A272">
        <v>269</v>
      </c>
      <c r="B272" s="9">
        <v>94.09</v>
      </c>
      <c r="C272">
        <v>82.17</v>
      </c>
      <c r="D272">
        <v>0.59589041095891704</v>
      </c>
    </row>
    <row r="273" spans="1:4" x14ac:dyDescent="0.2">
      <c r="A273">
        <v>270</v>
      </c>
      <c r="B273" s="9">
        <v>94.46</v>
      </c>
      <c r="C273">
        <v>82.539999999999992</v>
      </c>
      <c r="D273">
        <v>0.76027397260272001</v>
      </c>
    </row>
    <row r="274" spans="1:4" x14ac:dyDescent="0.2">
      <c r="A274">
        <v>271</v>
      </c>
      <c r="B274" s="9">
        <v>94.67</v>
      </c>
      <c r="C274">
        <v>82.75</v>
      </c>
      <c r="D274">
        <v>0.43150684931508493</v>
      </c>
    </row>
    <row r="275" spans="1:4" x14ac:dyDescent="0.2">
      <c r="A275">
        <v>272</v>
      </c>
      <c r="B275" s="9">
        <v>94.84</v>
      </c>
      <c r="C275">
        <v>82.92</v>
      </c>
      <c r="D275">
        <v>0.34931506849315425</v>
      </c>
    </row>
    <row r="276" spans="1:4" x14ac:dyDescent="0.2">
      <c r="A276">
        <v>273</v>
      </c>
      <c r="B276" s="9">
        <v>95.15</v>
      </c>
      <c r="C276">
        <v>83.23</v>
      </c>
      <c r="D276">
        <v>0.63698630136986778</v>
      </c>
    </row>
    <row r="277" spans="1:4" x14ac:dyDescent="0.2">
      <c r="A277">
        <v>274</v>
      </c>
      <c r="B277" s="9">
        <v>95.54</v>
      </c>
      <c r="C277">
        <v>83.62</v>
      </c>
      <c r="D277">
        <v>0.80136986301370006</v>
      </c>
    </row>
    <row r="278" spans="1:4" x14ac:dyDescent="0.2">
      <c r="A278">
        <v>275</v>
      </c>
      <c r="B278" s="9">
        <v>95.86</v>
      </c>
      <c r="C278">
        <v>83.94</v>
      </c>
      <c r="D278">
        <v>0.65753424657532855</v>
      </c>
    </row>
    <row r="279" spans="1:4" x14ac:dyDescent="0.2">
      <c r="A279">
        <v>276</v>
      </c>
      <c r="B279" s="9">
        <v>96.02</v>
      </c>
      <c r="C279">
        <v>84.1</v>
      </c>
      <c r="D279">
        <v>0.32876712328766428</v>
      </c>
    </row>
    <row r="280" spans="1:4" x14ac:dyDescent="0.2">
      <c r="A280">
        <v>277</v>
      </c>
      <c r="B280" s="9">
        <v>96.4</v>
      </c>
      <c r="C280">
        <v>84.48</v>
      </c>
      <c r="D280">
        <v>0.78082191780823917</v>
      </c>
    </row>
    <row r="281" spans="1:4" x14ac:dyDescent="0.2">
      <c r="A281">
        <v>278</v>
      </c>
      <c r="B281" s="9">
        <v>96.76</v>
      </c>
      <c r="C281">
        <v>84.84</v>
      </c>
      <c r="D281">
        <v>0.73972602739725923</v>
      </c>
    </row>
    <row r="282" spans="1:4" x14ac:dyDescent="0.2">
      <c r="A282">
        <v>279</v>
      </c>
      <c r="B282" s="9">
        <v>97.01</v>
      </c>
      <c r="C282">
        <v>85.09</v>
      </c>
      <c r="D282">
        <v>0.51369863013698636</v>
      </c>
    </row>
    <row r="283" spans="1:4" x14ac:dyDescent="0.2">
      <c r="A283">
        <v>280</v>
      </c>
      <c r="B283" s="9">
        <v>97.34</v>
      </c>
      <c r="C283">
        <v>85.42</v>
      </c>
      <c r="D283">
        <v>0.67808219178081852</v>
      </c>
    </row>
    <row r="284" spans="1:4" x14ac:dyDescent="0.2">
      <c r="A284">
        <v>281</v>
      </c>
      <c r="B284" s="9">
        <v>97.68</v>
      </c>
      <c r="C284">
        <v>85.76</v>
      </c>
      <c r="D284">
        <v>0.69863013698630849</v>
      </c>
    </row>
    <row r="285" spans="1:4" x14ac:dyDescent="0.2">
      <c r="A285">
        <v>282</v>
      </c>
      <c r="B285" s="9">
        <v>97.91</v>
      </c>
      <c r="C285">
        <v>85.99</v>
      </c>
      <c r="D285">
        <v>0.47260273972600642</v>
      </c>
    </row>
    <row r="286" spans="1:4" x14ac:dyDescent="0.2">
      <c r="A286">
        <v>283</v>
      </c>
      <c r="B286" s="9">
        <v>98.06</v>
      </c>
      <c r="C286">
        <v>86.14</v>
      </c>
      <c r="D286">
        <v>0.3082191780822035</v>
      </c>
    </row>
    <row r="287" spans="1:4" x14ac:dyDescent="0.2">
      <c r="A287">
        <v>284</v>
      </c>
      <c r="B287" s="9">
        <v>98.44</v>
      </c>
      <c r="C287">
        <v>86.52</v>
      </c>
      <c r="D287">
        <v>0.78082191780820998</v>
      </c>
    </row>
    <row r="288" spans="1:4" x14ac:dyDescent="0.2">
      <c r="A288">
        <v>285</v>
      </c>
      <c r="B288" s="9">
        <v>98.77</v>
      </c>
      <c r="C288">
        <v>86.85</v>
      </c>
      <c r="D288">
        <v>0.67808219178081852</v>
      </c>
    </row>
    <row r="289" spans="1:4" x14ac:dyDescent="0.2">
      <c r="A289">
        <v>286</v>
      </c>
      <c r="B289" s="9">
        <v>99.11</v>
      </c>
      <c r="C289">
        <v>87.19</v>
      </c>
      <c r="D289">
        <v>0.69863013698630849</v>
      </c>
    </row>
    <row r="290" spans="1:4" x14ac:dyDescent="0.2">
      <c r="A290">
        <v>287</v>
      </c>
      <c r="B290" s="9">
        <v>99.44</v>
      </c>
      <c r="C290">
        <v>87.52</v>
      </c>
      <c r="D290">
        <v>0.67808219178081852</v>
      </c>
    </row>
    <row r="291" spans="1:4" x14ac:dyDescent="0.2">
      <c r="A291">
        <v>288</v>
      </c>
      <c r="B291" s="9">
        <v>99.72</v>
      </c>
      <c r="C291">
        <v>87.8</v>
      </c>
      <c r="D291">
        <v>0.57534246575342718</v>
      </c>
    </row>
    <row r="292" spans="1:4" x14ac:dyDescent="0.2">
      <c r="A292">
        <v>289</v>
      </c>
      <c r="B292" s="9">
        <v>99.99</v>
      </c>
      <c r="C292">
        <v>88.07</v>
      </c>
      <c r="D292">
        <v>0.55479452054793721</v>
      </c>
    </row>
    <row r="293" spans="1:4" x14ac:dyDescent="0.2">
      <c r="A293">
        <v>290</v>
      </c>
      <c r="B293" s="9">
        <v>100.3</v>
      </c>
      <c r="C293">
        <v>88.38</v>
      </c>
      <c r="D293">
        <v>0.63698630136986778</v>
      </c>
    </row>
    <row r="294" spans="1:4" x14ac:dyDescent="0.2">
      <c r="A294">
        <v>291</v>
      </c>
      <c r="B294" s="9">
        <v>100.62</v>
      </c>
      <c r="C294">
        <v>88.7</v>
      </c>
      <c r="D294">
        <v>0.65753424657535775</v>
      </c>
    </row>
    <row r="295" spans="1:4" x14ac:dyDescent="0.2">
      <c r="A295">
        <v>292</v>
      </c>
      <c r="B295" s="9">
        <v>101.01</v>
      </c>
      <c r="C295">
        <v>89.09</v>
      </c>
      <c r="D295">
        <v>0.80136986301370006</v>
      </c>
    </row>
    <row r="296" spans="1:4" x14ac:dyDescent="0.2">
      <c r="A296">
        <v>293</v>
      </c>
      <c r="B296" s="9">
        <v>101.29</v>
      </c>
      <c r="C296">
        <v>89.37</v>
      </c>
      <c r="D296">
        <v>0.57534246575342718</v>
      </c>
    </row>
    <row r="297" spans="1:4" x14ac:dyDescent="0.2">
      <c r="A297">
        <v>294</v>
      </c>
      <c r="B297" s="9">
        <v>101.53</v>
      </c>
      <c r="C297">
        <v>89.61</v>
      </c>
      <c r="D297">
        <v>0.49315068493149639</v>
      </c>
    </row>
    <row r="298" spans="1:4" x14ac:dyDescent="0.2">
      <c r="A298">
        <v>295</v>
      </c>
      <c r="B298" s="9">
        <v>101.79</v>
      </c>
      <c r="C298">
        <v>89.87</v>
      </c>
      <c r="D298">
        <v>0.53424657534247633</v>
      </c>
    </row>
    <row r="299" spans="1:4" x14ac:dyDescent="0.2">
      <c r="A299">
        <v>296</v>
      </c>
      <c r="B299" s="9">
        <v>102.11</v>
      </c>
      <c r="C299">
        <v>90.19</v>
      </c>
      <c r="D299">
        <v>0.65753424657532855</v>
      </c>
    </row>
    <row r="300" spans="1:4" x14ac:dyDescent="0.2">
      <c r="A300">
        <v>297</v>
      </c>
      <c r="B300" s="9">
        <v>102.42</v>
      </c>
      <c r="C300">
        <v>90.5</v>
      </c>
      <c r="D300">
        <v>0.63698630136986778</v>
      </c>
    </row>
    <row r="301" spans="1:4" x14ac:dyDescent="0.2">
      <c r="A301">
        <v>298</v>
      </c>
      <c r="B301" s="9">
        <v>102.71</v>
      </c>
      <c r="C301">
        <v>90.789999999999992</v>
      </c>
      <c r="D301">
        <v>0.59589041095888784</v>
      </c>
    </row>
    <row r="302" spans="1:4" x14ac:dyDescent="0.2">
      <c r="A302">
        <v>299</v>
      </c>
      <c r="B302" s="9">
        <v>103.11</v>
      </c>
      <c r="C302">
        <v>91.19</v>
      </c>
      <c r="D302">
        <v>0.82191780821918992</v>
      </c>
    </row>
    <row r="303" spans="1:4" x14ac:dyDescent="0.2">
      <c r="A303">
        <v>300</v>
      </c>
      <c r="B303" s="9">
        <v>103.23</v>
      </c>
      <c r="C303">
        <v>91.31</v>
      </c>
      <c r="D303">
        <v>0.24657534246576279</v>
      </c>
    </row>
    <row r="304" spans="1:4" x14ac:dyDescent="0.2">
      <c r="A304">
        <v>301</v>
      </c>
      <c r="B304" s="9">
        <v>103.62</v>
      </c>
      <c r="C304">
        <v>91.7</v>
      </c>
      <c r="D304">
        <v>0.80136986301370006</v>
      </c>
    </row>
    <row r="305" spans="1:4" x14ac:dyDescent="0.2">
      <c r="A305">
        <v>302</v>
      </c>
      <c r="B305" s="9">
        <v>104.03</v>
      </c>
      <c r="C305">
        <v>92.11</v>
      </c>
      <c r="D305">
        <v>0.84246575342465069</v>
      </c>
    </row>
    <row r="306" spans="1:4" x14ac:dyDescent="0.2">
      <c r="A306">
        <v>303</v>
      </c>
      <c r="B306" s="9">
        <v>104.25</v>
      </c>
      <c r="C306">
        <v>92.33</v>
      </c>
      <c r="D306">
        <v>0.45205479452054564</v>
      </c>
    </row>
    <row r="307" spans="1:4" x14ac:dyDescent="0.2">
      <c r="A307">
        <v>304</v>
      </c>
      <c r="B307" s="9">
        <v>104.52</v>
      </c>
      <c r="C307">
        <v>92.6</v>
      </c>
      <c r="D307">
        <v>0.55479452054793721</v>
      </c>
    </row>
    <row r="308" spans="1:4" x14ac:dyDescent="0.2">
      <c r="A308">
        <v>305</v>
      </c>
      <c r="B308" s="9">
        <v>104.92</v>
      </c>
      <c r="C308">
        <v>93</v>
      </c>
      <c r="D308">
        <v>0.82191780821918992</v>
      </c>
    </row>
    <row r="309" spans="1:4" x14ac:dyDescent="0.2">
      <c r="A309">
        <v>306</v>
      </c>
      <c r="B309" s="9">
        <v>105.19</v>
      </c>
      <c r="C309">
        <v>93.27</v>
      </c>
      <c r="D309">
        <v>0.55479452054793721</v>
      </c>
    </row>
    <row r="310" spans="1:4" x14ac:dyDescent="0.2">
      <c r="A310">
        <v>307</v>
      </c>
      <c r="B310" s="9">
        <v>105.31</v>
      </c>
      <c r="C310">
        <v>93.39</v>
      </c>
      <c r="D310">
        <v>0.24657534246576279</v>
      </c>
    </row>
    <row r="311" spans="1:4" x14ac:dyDescent="0.2">
      <c r="A311">
        <v>308</v>
      </c>
      <c r="B311" s="9">
        <v>105.7</v>
      </c>
      <c r="C311">
        <v>93.78</v>
      </c>
      <c r="D311">
        <v>0.80136986301370006</v>
      </c>
    </row>
    <row r="312" spans="1:4" x14ac:dyDescent="0.2">
      <c r="A312">
        <v>309</v>
      </c>
      <c r="B312" s="9">
        <v>106.1</v>
      </c>
      <c r="C312">
        <v>94.179999999999993</v>
      </c>
      <c r="D312">
        <v>0.82191780821916072</v>
      </c>
    </row>
    <row r="313" spans="1:4" x14ac:dyDescent="0.2">
      <c r="A313">
        <v>310</v>
      </c>
      <c r="B313" s="9">
        <v>106.34</v>
      </c>
      <c r="C313">
        <v>94.42</v>
      </c>
      <c r="D313">
        <v>0.49315068493152558</v>
      </c>
    </row>
    <row r="314" spans="1:4" x14ac:dyDescent="0.2">
      <c r="A314">
        <v>311</v>
      </c>
      <c r="B314" s="9">
        <v>106.57</v>
      </c>
      <c r="C314">
        <v>94.649999999999991</v>
      </c>
      <c r="D314">
        <v>0.47260273972600642</v>
      </c>
    </row>
    <row r="315" spans="1:4" x14ac:dyDescent="0.2">
      <c r="A315">
        <v>312</v>
      </c>
      <c r="B315" s="9">
        <v>106.94</v>
      </c>
      <c r="C315">
        <v>95.02</v>
      </c>
      <c r="D315">
        <v>0.7602739726027492</v>
      </c>
    </row>
    <row r="316" spans="1:4" x14ac:dyDescent="0.2">
      <c r="A316">
        <v>313</v>
      </c>
      <c r="B316" s="9">
        <v>107.27</v>
      </c>
      <c r="C316">
        <v>95.35</v>
      </c>
      <c r="D316">
        <v>0.67808219178081852</v>
      </c>
    </row>
    <row r="317" spans="1:4" x14ac:dyDescent="0.2">
      <c r="A317">
        <v>314</v>
      </c>
      <c r="B317" s="9">
        <v>107.52</v>
      </c>
      <c r="C317">
        <v>95.6</v>
      </c>
      <c r="D317">
        <v>0.51369863013698636</v>
      </c>
    </row>
    <row r="318" spans="1:4" x14ac:dyDescent="0.2">
      <c r="A318">
        <v>315</v>
      </c>
      <c r="B318" s="9">
        <v>107.87</v>
      </c>
      <c r="C318">
        <v>95.95</v>
      </c>
      <c r="D318">
        <v>0.71917808219179835</v>
      </c>
    </row>
    <row r="319" spans="1:4" x14ac:dyDescent="0.2">
      <c r="A319">
        <v>316</v>
      </c>
      <c r="B319" s="9">
        <v>108.16</v>
      </c>
      <c r="C319">
        <v>96.24</v>
      </c>
      <c r="D319">
        <v>0.59589041095888784</v>
      </c>
    </row>
    <row r="320" spans="1:4" x14ac:dyDescent="0.2">
      <c r="A320">
        <v>317</v>
      </c>
      <c r="B320" s="9">
        <v>108.32</v>
      </c>
      <c r="C320">
        <v>96.399999999999991</v>
      </c>
      <c r="D320">
        <v>0.32876712328766428</v>
      </c>
    </row>
    <row r="321" spans="1:4" x14ac:dyDescent="0.2">
      <c r="A321">
        <v>318</v>
      </c>
      <c r="B321" s="9">
        <v>108.67</v>
      </c>
      <c r="C321">
        <v>96.75</v>
      </c>
      <c r="D321">
        <v>0.71917808219179835</v>
      </c>
    </row>
    <row r="322" spans="1:4" x14ac:dyDescent="0.2">
      <c r="A322">
        <v>319</v>
      </c>
      <c r="B322" s="9">
        <v>109.02</v>
      </c>
      <c r="C322">
        <v>97.1</v>
      </c>
      <c r="D322">
        <v>0.71917808219176926</v>
      </c>
    </row>
    <row r="323" spans="1:4" x14ac:dyDescent="0.2">
      <c r="A323">
        <v>320</v>
      </c>
      <c r="B323" s="9">
        <v>109.4</v>
      </c>
      <c r="C323">
        <v>97.48</v>
      </c>
      <c r="D323">
        <v>0.78082191780823917</v>
      </c>
    </row>
    <row r="324" spans="1:4" x14ac:dyDescent="0.2">
      <c r="A324">
        <v>321</v>
      </c>
      <c r="B324" s="9">
        <v>109.59</v>
      </c>
      <c r="C324">
        <v>97.67</v>
      </c>
      <c r="D324">
        <v>0.39041095890410499</v>
      </c>
    </row>
    <row r="325" spans="1:4" x14ac:dyDescent="0.2">
      <c r="A325">
        <v>322</v>
      </c>
      <c r="B325" s="9">
        <v>110</v>
      </c>
      <c r="C325">
        <v>98.08</v>
      </c>
      <c r="D325">
        <v>0.84246575342465069</v>
      </c>
    </row>
    <row r="326" spans="1:4" x14ac:dyDescent="0.2">
      <c r="A326">
        <v>323</v>
      </c>
      <c r="B326" s="9">
        <v>110.29</v>
      </c>
      <c r="C326">
        <v>98.37</v>
      </c>
      <c r="D326">
        <v>0.59589041095891704</v>
      </c>
    </row>
    <row r="327" spans="1:4" x14ac:dyDescent="0.2">
      <c r="A327">
        <v>324</v>
      </c>
      <c r="B327" s="9">
        <v>110.5</v>
      </c>
      <c r="C327">
        <v>98.58</v>
      </c>
      <c r="D327">
        <v>0.43150684931505567</v>
      </c>
    </row>
    <row r="328" spans="1:4" x14ac:dyDescent="0.2">
      <c r="A328">
        <v>325</v>
      </c>
      <c r="B328" s="9">
        <v>110.87</v>
      </c>
      <c r="C328">
        <v>98.95</v>
      </c>
      <c r="D328">
        <v>0.7602739726027492</v>
      </c>
    </row>
    <row r="329" spans="1:4" x14ac:dyDescent="0.2">
      <c r="A329">
        <v>326</v>
      </c>
      <c r="B329" s="9">
        <v>111.2</v>
      </c>
      <c r="C329">
        <v>99.28</v>
      </c>
      <c r="D329">
        <v>0.67808219178081852</v>
      </c>
    </row>
    <row r="330" spans="1:4" x14ac:dyDescent="0.2">
      <c r="A330">
        <v>327</v>
      </c>
      <c r="B330" s="9">
        <v>111.41</v>
      </c>
      <c r="C330">
        <v>99.49</v>
      </c>
      <c r="D330">
        <v>0.43150684931505567</v>
      </c>
    </row>
    <row r="331" spans="1:4" x14ac:dyDescent="0.2">
      <c r="A331">
        <v>328</v>
      </c>
      <c r="B331" s="9">
        <v>111.73</v>
      </c>
      <c r="C331">
        <v>99.81</v>
      </c>
      <c r="D331">
        <v>0.65753424657535775</v>
      </c>
    </row>
    <row r="332" spans="1:4" x14ac:dyDescent="0.2">
      <c r="A332">
        <v>329</v>
      </c>
      <c r="B332" s="9">
        <v>112.06</v>
      </c>
      <c r="C332">
        <v>100.14</v>
      </c>
      <c r="D332">
        <v>0.67808219178081852</v>
      </c>
    </row>
    <row r="333" spans="1:4" x14ac:dyDescent="0.2">
      <c r="A333">
        <v>330</v>
      </c>
      <c r="B333" s="9">
        <v>112.34</v>
      </c>
      <c r="C333">
        <v>100.42</v>
      </c>
      <c r="D333">
        <v>0.57534246575342718</v>
      </c>
    </row>
    <row r="334" spans="1:4" x14ac:dyDescent="0.2">
      <c r="A334">
        <v>331</v>
      </c>
      <c r="B334" s="9">
        <v>112.66</v>
      </c>
      <c r="C334">
        <v>100.74</v>
      </c>
      <c r="D334">
        <v>0.65753424657532855</v>
      </c>
    </row>
    <row r="335" spans="1:4" x14ac:dyDescent="0.2">
      <c r="A335">
        <v>332</v>
      </c>
      <c r="B335" s="9">
        <v>112.95</v>
      </c>
      <c r="C335">
        <v>101.03</v>
      </c>
      <c r="D335">
        <v>0.59589041095891704</v>
      </c>
    </row>
    <row r="336" spans="1:4" x14ac:dyDescent="0.2">
      <c r="A336">
        <v>333</v>
      </c>
      <c r="B336" s="9">
        <v>113.22</v>
      </c>
      <c r="C336">
        <v>101.3</v>
      </c>
      <c r="D336">
        <v>0.55479452054793721</v>
      </c>
    </row>
    <row r="337" spans="1:7" x14ac:dyDescent="0.2">
      <c r="A337">
        <v>334</v>
      </c>
      <c r="B337" s="9">
        <v>113.29</v>
      </c>
      <c r="C337">
        <v>101.37</v>
      </c>
      <c r="D337">
        <v>0.14383561643837137</v>
      </c>
    </row>
    <row r="338" spans="1:7" x14ac:dyDescent="0.2">
      <c r="A338">
        <v>335</v>
      </c>
      <c r="B338" s="9">
        <v>113.72</v>
      </c>
      <c r="C338">
        <v>101.8</v>
      </c>
      <c r="D338">
        <v>0.88356164383560143</v>
      </c>
    </row>
    <row r="339" spans="1:7" x14ac:dyDescent="0.2">
      <c r="A339">
        <v>336</v>
      </c>
      <c r="B339" s="9">
        <v>113.98</v>
      </c>
      <c r="C339">
        <v>102.06</v>
      </c>
      <c r="D339">
        <v>0.53424657534247633</v>
      </c>
    </row>
    <row r="340" spans="1:7" x14ac:dyDescent="0.2">
      <c r="A340">
        <v>337</v>
      </c>
      <c r="B340" s="9">
        <v>114.14</v>
      </c>
      <c r="C340">
        <v>102.22</v>
      </c>
      <c r="D340">
        <v>0.32876712328766428</v>
      </c>
    </row>
    <row r="341" spans="1:7" x14ac:dyDescent="0.2">
      <c r="A341">
        <v>338</v>
      </c>
      <c r="B341" s="9">
        <v>114.5</v>
      </c>
      <c r="C341">
        <v>102.58</v>
      </c>
      <c r="D341">
        <v>0.73972602739725923</v>
      </c>
    </row>
    <row r="342" spans="1:7" x14ac:dyDescent="0.2">
      <c r="A342">
        <v>339</v>
      </c>
      <c r="B342" s="9">
        <v>114.79</v>
      </c>
      <c r="C342">
        <v>102.87</v>
      </c>
      <c r="D342">
        <v>0.59589041095891704</v>
      </c>
    </row>
    <row r="343" spans="1:7" x14ac:dyDescent="0.2">
      <c r="A343">
        <v>340</v>
      </c>
      <c r="B343" s="9">
        <v>115.04</v>
      </c>
      <c r="C343">
        <v>103.12</v>
      </c>
      <c r="D343">
        <v>0.51369863013698636</v>
      </c>
    </row>
    <row r="344" spans="1:7" x14ac:dyDescent="0.2">
      <c r="A344">
        <v>341</v>
      </c>
      <c r="B344" s="9">
        <v>115.34</v>
      </c>
      <c r="C344">
        <v>103.42</v>
      </c>
      <c r="D344">
        <v>0.61643835616437781</v>
      </c>
      <c r="E344" s="9">
        <v>0.52900000000000003</v>
      </c>
      <c r="F344">
        <v>4.0047999999868631E-3</v>
      </c>
      <c r="G344">
        <v>0.88221176470626872</v>
      </c>
    </row>
    <row r="345" spans="1:7" x14ac:dyDescent="0.2">
      <c r="A345">
        <v>342</v>
      </c>
      <c r="B345" s="9">
        <v>48.68</v>
      </c>
      <c r="C345">
        <v>103.80000000000001</v>
      </c>
      <c r="D345">
        <v>0.78082191780823917</v>
      </c>
    </row>
  </sheetData>
  <conditionalFormatting sqref="D1:D1048576 E5:E9">
    <cfRule type="cellIs" dxfId="2" priority="3" operator="greaterThan">
      <formula>1</formula>
    </cfRule>
  </conditionalFormatting>
  <conditionalFormatting sqref="E123">
    <cfRule type="cellIs" dxfId="1" priority="2" operator="greaterThan">
      <formula>1</formula>
    </cfRule>
  </conditionalFormatting>
  <conditionalFormatting sqref="E344">
    <cfRule type="cellIs" dxfId="0" priority="1" operator="greaterThan">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alcAll">
                <anchor moveWithCells="1" sizeWithCells="1">
                  <from>
                    <xdr:col>7</xdr:col>
                    <xdr:colOff>495300</xdr:colOff>
                    <xdr:row>1</xdr:row>
                    <xdr:rowOff>12700</xdr:rowOff>
                  </from>
                  <to>
                    <xdr:col>9</xdr:col>
                    <xdr:colOff>63500</xdr:colOff>
                    <xdr:row>2</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Sample 1 - DI Water</vt:lpstr>
      <vt:lpstr>Sample 1 - NaCl Solution</vt:lpstr>
    </vt:vector>
  </TitlesOfParts>
  <Company>Mississippi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Mahsa Abbaszadeh</dc:creator>
  <cp:lastModifiedBy>Microsoft Office User</cp:lastModifiedBy>
  <cp:lastPrinted>2017-03-06T16:21:20Z</cp:lastPrinted>
  <dcterms:created xsi:type="dcterms:W3CDTF">2017-02-04T20:24:40Z</dcterms:created>
  <dcterms:modified xsi:type="dcterms:W3CDTF">2020-11-06T18:05:18Z</dcterms:modified>
</cp:coreProperties>
</file>